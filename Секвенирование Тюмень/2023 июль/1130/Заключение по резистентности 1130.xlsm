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600" yWindow="384" windowWidth="17964" windowHeight="6456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4562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ff557029-f993-4b1d-9cd8-163c363dc934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<sst xmlns="http://schemas.openxmlformats.org/spreadsheetml/2006/main" count="183" uniqueCount="93">
  <si>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</si>
  <si>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</si>
  <si>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</si>
  <si>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</si>
  <si>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</si>
  <si>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</si>
  <si>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</si>
  <si>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</si>
  <si>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</si>
  <si>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</si>
  <si>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</si>
  <si>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</si>
  <si>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</si>
  <si>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</si>
  <si>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</si>
  <si>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</si>
  <si>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</si>
  <si>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</si>
  <si>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</si>
  <si>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</si>
  <si>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</si>
  <si>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</si>
  <si>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</si>
  <si>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</si>
  <si>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</si>
  <si>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</si>
  <si>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</si>
  <si>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</si>
  <si>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</si>
  <si>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</si>
  <si>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</si>
  <si>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</si>
  <si>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</si>
  <si>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</si>
  <si>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</si>
  <si>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</si>
  <si>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</si>
  <si>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</si>
  <si>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</si>
  <si>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</si>
  <si>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</si>
  <si>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</si>
  <si>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</si>
  <si>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</si>
  <si>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</si>
  <si>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</si>
  <si>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</si>
  <si>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</si>
  <si>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</si>
  <si>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</si>
  <si>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</si>
  <si>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</si>
  <si>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</si>
  <si>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</si>
  <si>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</si>
  <si>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</si>
  <si>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</si>
  <si>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</si>
  <si>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</si>
  <si>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</si>
  <si>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</si>
  <si>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</si>
  <si>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</si>
  <si>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</si>
  <si>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</si>
  <si>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</si>
  <si>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</si>
  <si>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</si>
  <si>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</si>
  <si>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</si>
  <si>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</si>
  <si>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</si>
  <si>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</si>
  <si>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</si>
  <si>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</si>
  <si>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</si>
  <si>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</si>
  <si>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</si>
  <si>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</si>
  <si>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</si>
  <si>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</si>
  <si>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</si>
  <si>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</si>
  <si>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</si>
  <si>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</si>
  <si>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</si>
  <si>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</si>
  <si>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</si>
  <si>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Билалова Наталья Васильевна</t>
  </si>
  <si>
    <t>Наименование организации: ФБУН ФНИИВИ "Виром"</t>
  </si>
  <si>
    <t>мужской</t>
  </si>
  <si>
    <t>C:\Рабочий стол\секвенирование\ТЮМЕНЬ июль 2023 г\1130\Raw_1130_consensus.json</t>
  </si>
  <si>
    <t>№164/1130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</si>
</sst>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8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3" sqref="D3"/>
    </sheetView>
  </sheetViews>
  <sheetFormatPr defaultRowHeight="14.4" x14ac:dyDescent="0.3"/>
  <cols>
    <col min="1" max="1" width="40.77734375" bestFit="1" customWidth="1"/>
    <col min="2" max="2" width="9.21875" customWidth="1"/>
    <col min="3" max="3" width="27" customWidth="1"/>
    <col min="4" max="4" width="30.77734375" bestFit="1" customWidth="1"/>
    <col min="5" max="11" width="40.77734375" customWidth="1"/>
    <col min="13" max="13" width="23" bestFit="1" customWidth="1"/>
    <col min="14" max="14" width="9.77734375" customWidth="1"/>
    <col min="16" max="16" width="9.44140625" customWidth="1"/>
    <col min="17" max="18" width="9.77734375" customWidth="1"/>
    <col min="20" max="20" width="9.44140625" customWidth="1"/>
    <col min="21" max="21" width="9.77734375" customWidth="1"/>
  </cols>
  <sheetData>
    <row r="1" spans="1:21" x14ac:dyDescent="0.3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3">
      <c r="A2" t="s">
        <v>91</v>
      </c>
      <c r="C2" t="s">
        <v>76</v>
      </c>
      <c r="D2" t="s">
        <v>92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3">
      <c r="C3" t="s">
        <v>80</v>
      </c>
      <c r="D3" s="14">
        <v>44945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3">
      <c r="C4" t="s">
        <v>81</v>
      </c>
      <c r="D4">
        <v>4056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3">
      <c r="C5" t="s">
        <v>70</v>
      </c>
      <c r="D5" s="14">
        <v>29805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3">
      <c r="C6" t="s">
        <v>82</v>
      </c>
      <c r="D6" t="s">
        <v>90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3">
      <c r="C7" t="s">
        <v>87</v>
      </c>
      <c r="D7" s="14">
        <v>45135</v>
      </c>
      <c r="T7" s="2" t="s">
        <v>16</v>
      </c>
      <c r="U7" t="s">
        <v>39</v>
      </c>
    </row>
    <row r="8" spans="1:21" x14ac:dyDescent="0.3">
      <c r="C8" t="s">
        <v>77</v>
      </c>
      <c r="D8" t="s">
        <v>88</v>
      </c>
      <c r="T8" s="2" t="s">
        <v>22</v>
      </c>
      <c r="U8" t="s">
        <v>40</v>
      </c>
    </row>
    <row r="9" spans="1:21" x14ac:dyDescent="0.3">
      <c r="C9" t="s">
        <v>83</v>
      </c>
      <c r="D9" t="s">
        <v>84</v>
      </c>
      <c r="T9" s="2" t="s">
        <v>4</v>
      </c>
      <c r="U9" t="s">
        <v>41</v>
      </c>
    </row>
    <row r="10" spans="1:21" x14ac:dyDescent="0.3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3">
      <c r="T11" s="2" t="s">
        <v>25</v>
      </c>
      <c r="U11" t="s">
        <v>42</v>
      </c>
    </row>
    <row r="12" spans="1:21" x14ac:dyDescent="0.3">
      <c r="T12" s="2" t="s">
        <v>5</v>
      </c>
      <c r="U12" t="s">
        <v>43</v>
      </c>
    </row>
    <row r="13" spans="1:21" x14ac:dyDescent="0.3">
      <c r="T13" s="2" t="s">
        <v>17</v>
      </c>
      <c r="U13" t="s">
        <v>44</v>
      </c>
    </row>
    <row r="14" spans="1:21" x14ac:dyDescent="0.3">
      <c r="T14" s="2" t="s">
        <v>6</v>
      </c>
      <c r="U14" t="s">
        <v>45</v>
      </c>
    </row>
    <row r="15" spans="1:21" x14ac:dyDescent="0.3">
      <c r="T15" s="2" t="s">
        <v>7</v>
      </c>
      <c r="U15" t="s">
        <v>46</v>
      </c>
    </row>
    <row r="16" spans="1:21" x14ac:dyDescent="0.3">
      <c r="T16" s="2" t="s">
        <v>8</v>
      </c>
      <c r="U16" t="s">
        <v>60</v>
      </c>
    </row>
    <row r="17" spans="20:21" x14ac:dyDescent="0.3">
      <c r="T17" s="2" t="s">
        <v>26</v>
      </c>
      <c r="U17" t="s">
        <v>47</v>
      </c>
    </row>
    <row r="18" spans="20:21" x14ac:dyDescent="0.3">
      <c r="T18" s="2" t="s">
        <v>27</v>
      </c>
      <c r="U18" t="s">
        <v>48</v>
      </c>
    </row>
    <row r="19" spans="20:21" x14ac:dyDescent="0.3">
      <c r="T19" s="2" t="s">
        <v>9</v>
      </c>
      <c r="U19" t="s">
        <v>49</v>
      </c>
    </row>
    <row r="20" spans="20:21" x14ac:dyDescent="0.3">
      <c r="T20" s="2" t="s">
        <v>19</v>
      </c>
      <c r="U20" t="s">
        <v>50</v>
      </c>
    </row>
    <row r="21" spans="20:21" x14ac:dyDescent="0.3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4.4" x14ac:dyDescent="0.3"/>
  <cols>
    <col min="1" max="1" width="21.44140625" bestFit="1" customWidth="1"/>
    <col min="2" max="2" width="28.5546875" bestFit="1" customWidth="1"/>
    <col min="3" max="3" width="68" bestFit="1" customWidth="1"/>
    <col min="4" max="4" width="5.6640625" bestFit="1" customWidth="1"/>
    <col min="5" max="8" width="9.77734375" bestFit="1" customWidth="1"/>
    <col min="9" max="9" width="13.77734375" bestFit="1" customWidth="1"/>
    <col min="10" max="10" width="15.5546875" bestFit="1" customWidth="1"/>
    <col min="11" max="11" width="23" bestFit="1" customWidth="1"/>
  </cols>
  <sheetData>
    <row r="1" spans="1:4" x14ac:dyDescent="0.3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3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3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3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3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3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3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3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3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3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3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3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3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3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3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3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3">
      <c r="A17" s="1" t="s">
        <v>40</v>
      </c>
      <c r="B17" s="1" t="s">
        <v>30</v>
      </c>
      <c r="C17" s="1" t="s">
        <v>53</v>
      </c>
      <c r="D17" s="1">
        <v>3</v>
      </c>
    </row>
    <row r="18" spans="1:4" x14ac:dyDescent="0.3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3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3">
      <c r="A20" s="1" t="s">
        <v>42</v>
      </c>
      <c r="B20" s="1" t="s">
        <v>30</v>
      </c>
      <c r="C20" s="1" t="s">
        <v>53</v>
      </c>
      <c r="D20" s="1">
        <v>3</v>
      </c>
    </row>
    <row r="21" spans="1:4" x14ac:dyDescent="0.3">
      <c r="A21" s="1" t="s">
        <v>61</v>
      </c>
      <c r="B21" s="1" t="s">
        <v>30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25" zoomScaleNormal="70" zoomScaleSheetLayoutView="100" workbookViewId="0">
      <selection activeCell="A6" sqref="A6"/>
    </sheetView>
  </sheetViews>
  <sheetFormatPr defaultRowHeight="14.4" x14ac:dyDescent="0.3"/>
  <cols>
    <col min="1" max="1" width="29.77734375" customWidth="1"/>
    <col min="2" max="2" width="9" customWidth="1"/>
    <col min="3" max="3" width="14.21875" customWidth="1"/>
    <col min="4" max="4" width="6.77734375" customWidth="1"/>
    <col min="5" max="5" width="6.5546875" customWidth="1"/>
    <col min="6" max="6" width="19.77734375" customWidth="1"/>
    <col min="7" max="7" width="17.21875" customWidth="1"/>
  </cols>
  <sheetData>
    <row r="2" spans="1:7" ht="24" customHeight="1" x14ac:dyDescent="0.25"/>
    <row r="3" spans="1:7" ht="18" customHeight="1" x14ac:dyDescent="0.3">
      <c r="A3" s="18" t="s">
        <v>58</v>
      </c>
      <c r="B3" s="18"/>
      <c r="C3" s="18"/>
      <c r="D3" s="18"/>
      <c r="E3" s="18"/>
      <c r="F3" s="18"/>
      <c r="G3" s="18"/>
    </row>
    <row r="4" spans="1:7" ht="19.5" customHeight="1" x14ac:dyDescent="0.25">
      <c r="A4" s="18" t="str">
        <f>VLOOKUP("Номер",Данные[],2,0)</f>
        <v>№164/1130</v>
      </c>
      <c r="B4" s="18"/>
      <c r="C4" s="18"/>
      <c r="D4" s="18"/>
      <c r="E4" s="18"/>
      <c r="F4" s="18"/>
      <c r="G4" s="18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19.01.2023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4056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07.08.1981</v>
      </c>
      <c r="B8" s="11"/>
      <c r="C8" s="11"/>
      <c r="D8" s="11" t="str">
        <f>"Пол: "&amp;VLOOKUP("Пол",Данные[],2,0)</f>
        <v>Пол: мужской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3">
      <c r="A12" s="21" t="s">
        <v>66</v>
      </c>
      <c r="B12" s="21"/>
      <c r="C12" s="21"/>
      <c r="D12" s="21"/>
      <c r="E12" s="21"/>
      <c r="F12" s="21"/>
      <c r="G12" s="10" t="s">
        <v>64</v>
      </c>
    </row>
    <row r="13" spans="1:7" ht="23.1" customHeight="1" x14ac:dyDescent="0.3">
      <c r="A13" s="20" t="s">
        <v>58</v>
      </c>
      <c r="B13" s="20"/>
      <c r="C13" s="20"/>
      <c r="D13" s="20"/>
      <c r="E13" s="20"/>
      <c r="F13" s="20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3">
      <c r="A15" s="12" t="s">
        <v>57</v>
      </c>
      <c r="B15" s="15" t="s">
        <v>56</v>
      </c>
      <c r="C15" s="15"/>
      <c r="D15" s="15"/>
      <c r="E15" s="15" t="s">
        <v>55</v>
      </c>
      <c r="F15" s="15"/>
      <c r="G15" s="15"/>
    </row>
    <row r="16" spans="1:7" ht="23.1" customHeight="1" x14ac:dyDescent="0.3">
      <c r="A16" s="16" t="s">
        <v>54</v>
      </c>
      <c r="B16" s="16" t="s">
        <v>36</v>
      </c>
      <c r="C16" s="16"/>
      <c r="D16" s="16"/>
      <c r="E16" s="16" t="str">
        <f>VLOOKUP(B16,МЛУ[],2,0)</f>
        <v>Чувствителен</v>
      </c>
      <c r="F16" s="16"/>
      <c r="G16" s="16"/>
    </row>
    <row r="17" spans="1:7" ht="23.1" customHeight="1" x14ac:dyDescent="0.3">
      <c r="A17" s="16"/>
      <c r="B17" s="16" t="s">
        <v>41</v>
      </c>
      <c r="C17" s="16"/>
      <c r="D17" s="16"/>
      <c r="E17" s="16" t="str">
        <f>VLOOKUP(B17,МЛУ[],2,0)</f>
        <v>Чувствителен</v>
      </c>
      <c r="F17" s="16"/>
      <c r="G17" s="16"/>
    </row>
    <row r="18" spans="1:7" ht="23.1" customHeight="1" x14ac:dyDescent="0.3">
      <c r="A18" s="16"/>
      <c r="B18" s="16" t="s">
        <v>43</v>
      </c>
      <c r="C18" s="16"/>
      <c r="D18" s="16"/>
      <c r="E18" s="16" t="str">
        <f>VLOOKUP(B18,МЛУ[],2,0)</f>
        <v>Чувствителен</v>
      </c>
      <c r="F18" s="16"/>
      <c r="G18" s="16"/>
    </row>
    <row r="19" spans="1:7" ht="23.1" customHeight="1" x14ac:dyDescent="0.3">
      <c r="A19" s="16"/>
      <c r="B19" s="16" t="s">
        <v>45</v>
      </c>
      <c r="C19" s="16"/>
      <c r="D19" s="16"/>
      <c r="E19" s="16" t="str">
        <f>VLOOKUP(B19,МЛУ[],2,0)</f>
        <v>Чувствителен</v>
      </c>
      <c r="F19" s="16"/>
      <c r="G19" s="16"/>
    </row>
    <row r="20" spans="1:7" ht="23.1" customHeight="1" x14ac:dyDescent="0.3">
      <c r="A20" s="16"/>
      <c r="B20" s="16" t="s">
        <v>46</v>
      </c>
      <c r="C20" s="16"/>
      <c r="D20" s="16"/>
      <c r="E20" s="16" t="str">
        <f>VLOOKUP(B20,МЛУ[],2,0)</f>
        <v>Чувствителен</v>
      </c>
      <c r="F20" s="16"/>
      <c r="G20" s="16"/>
    </row>
    <row r="21" spans="1:7" ht="23.1" customHeight="1" x14ac:dyDescent="0.3">
      <c r="A21" s="16"/>
      <c r="B21" s="16" t="s">
        <v>60</v>
      </c>
      <c r="C21" s="16"/>
      <c r="D21" s="16"/>
      <c r="E21" s="16" t="str">
        <f>VLOOKUP(B21,МЛУ[],2,0)</f>
        <v>Чувствителен</v>
      </c>
      <c r="F21" s="16"/>
      <c r="G21" s="16"/>
    </row>
    <row r="22" spans="1:7" ht="23.1" customHeight="1" x14ac:dyDescent="0.3">
      <c r="A22" s="16"/>
      <c r="B22" s="16" t="s">
        <v>49</v>
      </c>
      <c r="C22" s="16"/>
      <c r="D22" s="16"/>
      <c r="E22" s="16" t="str">
        <f>VLOOKUP(B22,МЛУ[],2,0)</f>
        <v>Чувствителен</v>
      </c>
      <c r="F22" s="16"/>
      <c r="G22" s="16"/>
    </row>
    <row r="23" spans="1:7" ht="23.1" customHeight="1" x14ac:dyDescent="0.3">
      <c r="A23" s="16"/>
      <c r="B23" s="16" t="s">
        <v>51</v>
      </c>
      <c r="C23" s="16"/>
      <c r="D23" s="16"/>
      <c r="E23" s="16" t="str">
        <f>VLOOKUP(B23,МЛУ[],2,0)</f>
        <v>Чувствителен</v>
      </c>
      <c r="F23" s="16"/>
      <c r="G23" s="16"/>
    </row>
    <row r="24" spans="1:7" ht="23.1" customHeight="1" x14ac:dyDescent="0.3">
      <c r="A24" s="16" t="s">
        <v>52</v>
      </c>
      <c r="B24" s="16" t="s">
        <v>50</v>
      </c>
      <c r="C24" s="16"/>
      <c r="D24" s="16"/>
      <c r="E24" s="16" t="str">
        <f>VLOOKUP(B24,МЛУ[],2,0)</f>
        <v>Чувствителен</v>
      </c>
      <c r="F24" s="16"/>
      <c r="G24" s="16"/>
    </row>
    <row r="25" spans="1:7" ht="23.1" customHeight="1" x14ac:dyDescent="0.3">
      <c r="A25" s="16"/>
      <c r="B25" s="16" t="s">
        <v>44</v>
      </c>
      <c r="C25" s="16"/>
      <c r="D25" s="16"/>
      <c r="E25" s="16" t="str">
        <f>VLOOKUP(B25,МЛУ[],2,0)</f>
        <v>Высокий уровень устойчивости</v>
      </c>
      <c r="F25" s="16"/>
      <c r="G25" s="16"/>
    </row>
    <row r="26" spans="1:7" ht="23.1" customHeight="1" x14ac:dyDescent="0.3">
      <c r="A26" s="16"/>
      <c r="B26" s="16" t="s">
        <v>37</v>
      </c>
      <c r="C26" s="16"/>
      <c r="D26" s="16"/>
      <c r="E26" s="16" t="str">
        <f>VLOOKUP(B26,МЛУ[],2,0)</f>
        <v>Чувствителен</v>
      </c>
      <c r="F26" s="16"/>
      <c r="G26" s="16"/>
    </row>
    <row r="27" spans="1:7" ht="23.1" customHeight="1" x14ac:dyDescent="0.3">
      <c r="A27" s="16"/>
      <c r="B27" s="16" t="s">
        <v>38</v>
      </c>
      <c r="C27" s="16"/>
      <c r="D27" s="16"/>
      <c r="E27" s="16" t="str">
        <f>VLOOKUP(B27,МЛУ[],2,0)</f>
        <v>Чувствителен</v>
      </c>
      <c r="F27" s="16"/>
      <c r="G27" s="16"/>
    </row>
    <row r="28" spans="1:7" ht="23.1" customHeight="1" x14ac:dyDescent="0.3">
      <c r="A28" s="16"/>
      <c r="B28" s="16" t="s">
        <v>39</v>
      </c>
      <c r="C28" s="16"/>
      <c r="D28" s="16"/>
      <c r="E28" s="16" t="str">
        <f>VLOOKUP(B28,МЛУ[],2,0)</f>
        <v>Высокий уровень устойчивости</v>
      </c>
      <c r="F28" s="16"/>
      <c r="G28" s="16"/>
    </row>
    <row r="29" spans="1:7" ht="23.1" customHeight="1" x14ac:dyDescent="0.3">
      <c r="A29" s="16"/>
      <c r="B29" s="16" t="s">
        <v>34</v>
      </c>
      <c r="C29" s="16"/>
      <c r="D29" s="16"/>
      <c r="E29" s="16" t="str">
        <f>VLOOKUP(B29,МЛУ[],2,0)</f>
        <v>Высокий уровень устойчивости</v>
      </c>
      <c r="F29" s="16"/>
      <c r="G29" s="16"/>
    </row>
    <row r="30" spans="1:7" ht="23.1" customHeight="1" x14ac:dyDescent="0.3">
      <c r="A30" s="16"/>
      <c r="B30" s="16" t="s">
        <v>35</v>
      </c>
      <c r="C30" s="16"/>
      <c r="D30" s="16"/>
      <c r="E30" s="16" t="str">
        <f>VLOOKUP(B30,МЛУ[],2,0)</f>
        <v>Высокий уровень устойчивости</v>
      </c>
      <c r="F30" s="16"/>
      <c r="G30" s="16"/>
    </row>
    <row r="31" spans="1:7" ht="23.1" customHeight="1" x14ac:dyDescent="0.3">
      <c r="A31" s="16" t="s">
        <v>75</v>
      </c>
      <c r="B31" s="16" t="s">
        <v>48</v>
      </c>
      <c r="C31" s="16"/>
      <c r="D31" s="16"/>
      <c r="E31" s="16" t="str">
        <f>VLOOKUP(B31,МЛУ[],2,0)</f>
        <v>Высокий уровень устойчивости</v>
      </c>
      <c r="F31" s="16"/>
      <c r="G31" s="16"/>
    </row>
    <row r="32" spans="1:7" ht="23.1" customHeight="1" x14ac:dyDescent="0.3">
      <c r="A32" s="16"/>
      <c r="B32" s="16" t="s">
        <v>61</v>
      </c>
      <c r="C32" s="16"/>
      <c r="D32" s="16"/>
      <c r="E32" s="16" t="str">
        <f>VLOOKUP(B32,МЛУ[],2,0)</f>
        <v>Высокий уровень устойчивости</v>
      </c>
      <c r="F32" s="16"/>
      <c r="G32" s="16"/>
    </row>
    <row r="33" spans="1:7" ht="23.1" customHeight="1" x14ac:dyDescent="0.3">
      <c r="A33" s="16"/>
      <c r="B33" s="16" t="s">
        <v>42</v>
      </c>
      <c r="C33" s="16"/>
      <c r="D33" s="16"/>
      <c r="E33" s="16" t="str">
        <f>VLOOKUP(B33,МЛУ[],2,0)</f>
        <v>Высокий уровень устойчивости</v>
      </c>
      <c r="F33" s="16"/>
      <c r="G33" s="16"/>
    </row>
    <row r="34" spans="1:7" ht="23.1" customHeight="1" x14ac:dyDescent="0.3">
      <c r="A34" s="16"/>
      <c r="B34" s="16" t="s">
        <v>47</v>
      </c>
      <c r="C34" s="16"/>
      <c r="D34" s="16"/>
      <c r="E34" s="16" t="str">
        <f>VLOOKUP(B34,МЛУ[],2,0)</f>
        <v>Высокий уровень устойчивости</v>
      </c>
      <c r="F34" s="16"/>
      <c r="G34" s="16"/>
    </row>
    <row r="35" spans="1:7" ht="5.25" customHeight="1" x14ac:dyDescent="0.3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89</v>
      </c>
      <c r="B36" s="6"/>
      <c r="C36" s="6"/>
      <c r="D36" s="6"/>
      <c r="E36" s="6"/>
      <c r="F36" s="19" t="s">
        <v>67</v>
      </c>
      <c r="G36" s="19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Билалова Наталья Васильевна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7" t="s">
        <v>72</v>
      </c>
      <c r="E39" s="17"/>
      <c r="F39" s="17"/>
      <c r="G39" s="17"/>
    </row>
    <row r="40" spans="1:7" ht="21.75" customHeight="1" x14ac:dyDescent="0.3">
      <c r="A40" s="3"/>
      <c r="B40" s="3"/>
      <c r="C40" s="3"/>
      <c r="D40" s="3"/>
      <c r="E40" s="3"/>
      <c r="F40" s="3"/>
      <c r="G40" s="3"/>
    </row>
    <row r="41" spans="1:7" x14ac:dyDescent="0.3">
      <c r="A41" s="3"/>
      <c r="B41" s="3"/>
      <c r="C41" s="3"/>
      <c r="D41" s="3"/>
      <c r="E41" s="3"/>
      <c r="F41" s="3"/>
      <c r="G41" s="3"/>
    </row>
  </sheetData>
  <mergeCells count="49"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B28:D28"/>
    <mergeCell ref="B29:D29"/>
    <mergeCell ref="B30:D30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B15:D15"/>
    <mergeCell ref="B16:D16"/>
    <mergeCell ref="B17:D17"/>
    <mergeCell ref="B18:D18"/>
    <mergeCell ref="B19:D19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3D2C99-7598-4F7B-882C-DB27D799F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Билалова Наталья Васильевна</cp:lastModifiedBy>
  <cp:lastPrinted>2023-07-28T08:13:05Z</cp:lastPrinted>
  <dcterms:created xsi:type="dcterms:W3CDTF">2022-11-21T11:31:48Z</dcterms:created>
  <dcterms:modified xsi:type="dcterms:W3CDTF">2023-07-28T08:13:42Z</dcterms:modified>
</cp:coreProperties>
</file>