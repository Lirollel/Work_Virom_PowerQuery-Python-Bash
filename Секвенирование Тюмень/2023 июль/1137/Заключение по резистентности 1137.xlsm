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rojects\Work\Секвениролвание Тюмень июль 2023\1137\"/>
    </mc:Choice>
  </mc:AlternateContent>
  <bookViews>
    <workbookView xWindow="600" yWindow="390" windowWidth="17970" windowHeight="6450" activeTab="2"/>
  </bookViews>
  <sheets>
    <sheet name="S" sheetId="1" r:id="rId1"/>
    <sheet name="Лист2" sheetId="2" r:id="rId2"/>
    <sheet name="Отчет" sheetId="3" r:id="rId3"/>
  </sheets>
  <definedNames>
    <definedName name="ExternalData_1" localSheetId="1" hidden="1">Лист2!$A$1:$D$21</definedName>
    <definedName name="_xlnm.Print_Area" localSheetId="2">Отчет!$A$1:$G$40</definedName>
  </definedNames>
  <calcPr calcId="152511"/>
</workbook>
</file>

<file path=xl/calcChain.xml><?xml version="1.0" encoding="utf-8"?>
<calcChain xmlns="http://schemas.openxmlformats.org/spreadsheetml/2006/main"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5" background="1" saveData="1">
    <dbPr connection="provider=Microsoft.Mashup.OleDb.1;data source=$EmbeddedMashup(c4bcd28f-9b20-4f9b-ba65-332e1e7cddc2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<sst xmlns="http://schemas.openxmlformats.org/spreadsheetml/2006/main" count="183" uniqueCount="93">
  <si>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</si>
  <si>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</si>
  <si>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</si>
  <si>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</si>
  <si>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</si>
  <si>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</si>
  <si>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</si>
  <si>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</si>
  <si>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</si>
  <si>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</si>
  <si>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</si>
  <si>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</si>
  <si>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</si>
  <si>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</si>
  <si>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</si>
  <si>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</si>
  <si>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</si>
  <si>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</si>
  <si>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</si>
  <si>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</si>
  <si>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</si>
  <si>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</si>
  <si>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</si>
  <si>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</si>
  <si>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</si>
  <si>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</si>
  <si>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</si>
  <si>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</si>
  <si>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</si>
  <si>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</si>
  <si>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</si>
  <si>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</si>
  <si>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</si>
  <si>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</si>
  <si>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</si>
  <si>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</si>
  <si>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</si>
  <si>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</si>
  <si>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</si>
  <si>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</si>
  <si>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</si>
  <si>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</si>
  <si>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</si>
  <si>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</si>
  <si>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</si>
  <si>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</si>
  <si>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</si>
  <si>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</si>
  <si>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</si>
  <si>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</si>
  <si>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</si>
  <si>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</si>
  <si>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</si>
  <si>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</si>
  <si>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</si>
  <si>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</si>
  <si>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</si>
  <si>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</si>
  <si>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</si>
  <si>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</si>
  <si>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</si>
  <si>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</si>
  <si>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</si>
  <si>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</si>
  <si>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</si>
  <si>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</si>
  <si>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</si>
  <si>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</si>
  <si>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</si>
  <si>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</si>
  <si>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</si>
  <si>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</si>
  <si>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</si>
  <si>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</si>
  <si>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</si>
  <si>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</si>
  <si>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</si>
  <si>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</si>
  <si>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Параметр</t>
  </si>
  <si>
    <t>Значение</t>
  </si>
  <si>
    <t>Дата взятия материала:</t>
  </si>
  <si>
    <t>ID пациента:</t>
  </si>
  <si>
    <t>Пол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</si>
  <si>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</si>
  <si>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</si>
  <si>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</si>
  <si>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</si>
  <si>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</si>
  <si>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>Наименование организации: ФБУН ФНИИВИ "Виром"</t>
  </si>
  <si>
    <t>Климова Анна Александровна</t>
  </si>
  <si>
    <t>женский</t>
  </si>
  <si>
    <t>c:\Users\User\Projects\Work\Секвениролвание Тюмень июль 2023\1137\Raw_1137.json</t>
  </si>
  <si>
    <t>№172/1137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</si>
</sst>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1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6"/>
      <tableStyleElement type="headerRow" dxfId="15"/>
      <tableStyleElement type="firstRowStripe" dxfId="14"/>
    </tableStyle>
    <tableStyle name="TableStyleQueryResult" pivot="0" count="3">
      <tableStyleElement type="wholeTable" dxfId="13"/>
      <tableStyleElement type="headerRow" dxfId="12"/>
      <tableStyleElement type="first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39</xdr:row>
      <xdr:rowOff>15482</xdr:rowOff>
    </xdr:from>
    <xdr:to>
      <xdr:col>6</xdr:col>
      <xdr:colOff>1153575</xdr:colOff>
      <xdr:row>39</xdr:row>
      <xdr:rowOff>226290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10256762"/>
          <a:ext cx="7020975" cy="21080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1"/>
      <queryTableField id="2" name="Уровень устойчивости" tableColumnId="2"/>
      <queryTableField id="3" name="Тип препарата" tableColumnId="3"/>
      <queryTableField id="4" name="ПН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0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9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8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МЛУ" displayName="МЛУ" ref="A1:D21" tableType="queryTable" totalsRowShown="0" headerRowDxfId="7" dataDxfId="6">
  <autoFilter ref="A1:D21"/>
  <tableColumns count="4">
    <tableColumn id="1" uniqueName="1" name="Название препарата" queryTableFieldId="1" dataDxfId="3"/>
    <tableColumn id="2" uniqueName="2" name="Уровень устойчивости" queryTableFieldId="2" dataDxfId="2"/>
    <tableColumn id="3" uniqueName="3" name="Тип препарата" queryTableFieldId="3" dataDxfId="1"/>
    <tableColumn id="4" uniqueName="4" name="ПН" queryTableFieldId="4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21"/>
  <sheetViews>
    <sheetView workbookViewId="0">
      <selection activeCell="D9" sqref="D9"/>
    </sheetView>
  </sheetViews>
  <sheetFormatPr defaultRowHeight="15" x14ac:dyDescent="0.25"/>
  <cols>
    <col min="1" max="1" width="40.7109375" bestFit="1" customWidth="1"/>
    <col min="2" max="2" width="9.28515625" customWidth="1"/>
    <col min="3" max="3" width="27" customWidth="1"/>
    <col min="4" max="4" width="30.7109375" bestFit="1" customWidth="1"/>
    <col min="5" max="11" width="40.7109375" customWidth="1"/>
    <col min="13" max="13" width="23" bestFit="1" customWidth="1"/>
    <col min="14" max="14" width="9.7109375" customWidth="1"/>
    <col min="16" max="16" width="9.42578125" customWidth="1"/>
    <col min="17" max="18" width="9.7109375" customWidth="1"/>
    <col min="20" max="20" width="9.42578125" customWidth="1"/>
    <col min="21" max="21" width="9.7109375" customWidth="1"/>
  </cols>
  <sheetData>
    <row r="1" spans="1:21" x14ac:dyDescent="0.25">
      <c r="A1" t="s">
        <v>0</v>
      </c>
      <c r="C1" s="13" t="s">
        <v>78</v>
      </c>
      <c r="D1" s="13" t="s">
        <v>79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</row>
    <row r="2" spans="1:21" x14ac:dyDescent="0.25">
      <c r="A2" t="s">
        <v>91</v>
      </c>
      <c r="C2" t="s">
        <v>76</v>
      </c>
      <c r="D2" t="s">
        <v>92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</row>
    <row r="3" spans="1:21" x14ac:dyDescent="0.25">
      <c r="C3" t="s">
        <v>80</v>
      </c>
      <c r="D3" s="14">
        <v>44951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</row>
    <row r="4" spans="1:21" x14ac:dyDescent="0.25">
      <c r="C4" t="s">
        <v>81</v>
      </c>
      <c r="D4">
        <v>18525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</row>
    <row r="5" spans="1:21" x14ac:dyDescent="0.25">
      <c r="C5" t="s">
        <v>70</v>
      </c>
      <c r="D5" s="14">
        <v>29267</v>
      </c>
      <c r="M5" s="2" t="s">
        <v>3</v>
      </c>
      <c r="N5" t="s">
        <v>33</v>
      </c>
      <c r="T5" s="2" t="s">
        <v>14</v>
      </c>
      <c r="U5" t="s">
        <v>37</v>
      </c>
    </row>
    <row r="6" spans="1:21" x14ac:dyDescent="0.25">
      <c r="C6" t="s">
        <v>82</v>
      </c>
      <c r="D6" t="s">
        <v>90</v>
      </c>
      <c r="M6" s="2" t="s">
        <v>74</v>
      </c>
      <c r="N6" t="s">
        <v>73</v>
      </c>
      <c r="T6" s="2" t="s">
        <v>15</v>
      </c>
      <c r="U6" t="s">
        <v>38</v>
      </c>
    </row>
    <row r="7" spans="1:21" x14ac:dyDescent="0.25">
      <c r="C7" t="s">
        <v>87</v>
      </c>
      <c r="D7" s="14">
        <v>45135</v>
      </c>
      <c r="T7" s="2" t="s">
        <v>16</v>
      </c>
      <c r="U7" t="s">
        <v>39</v>
      </c>
    </row>
    <row r="8" spans="1:21" x14ac:dyDescent="0.25">
      <c r="C8" t="s">
        <v>77</v>
      </c>
      <c r="D8" t="s">
        <v>89</v>
      </c>
      <c r="T8" s="2" t="s">
        <v>22</v>
      </c>
      <c r="U8" t="s">
        <v>40</v>
      </c>
    </row>
    <row r="9" spans="1:21" x14ac:dyDescent="0.25">
      <c r="C9" t="s">
        <v>83</v>
      </c>
      <c r="D9" t="s">
        <v>84</v>
      </c>
      <c r="T9" s="2" t="s">
        <v>4</v>
      </c>
      <c r="U9" t="s">
        <v>41</v>
      </c>
    </row>
    <row r="10" spans="1:21" x14ac:dyDescent="0.25">
      <c r="C10" t="s">
        <v>85</v>
      </c>
      <c r="D10" t="s">
        <v>86</v>
      </c>
      <c r="T10" s="2" t="s">
        <v>24</v>
      </c>
      <c r="U10" t="s">
        <v>61</v>
      </c>
    </row>
    <row r="11" spans="1:21" x14ac:dyDescent="0.25">
      <c r="T11" s="2" t="s">
        <v>25</v>
      </c>
      <c r="U11" t="s">
        <v>42</v>
      </c>
    </row>
    <row r="12" spans="1:21" x14ac:dyDescent="0.25">
      <c r="T12" s="2" t="s">
        <v>5</v>
      </c>
      <c r="U12" t="s">
        <v>43</v>
      </c>
    </row>
    <row r="13" spans="1:21" x14ac:dyDescent="0.25">
      <c r="T13" s="2" t="s">
        <v>17</v>
      </c>
      <c r="U13" t="s">
        <v>44</v>
      </c>
    </row>
    <row r="14" spans="1:21" x14ac:dyDescent="0.25">
      <c r="T14" s="2" t="s">
        <v>6</v>
      </c>
      <c r="U14" t="s">
        <v>45</v>
      </c>
    </row>
    <row r="15" spans="1:21" x14ac:dyDescent="0.25">
      <c r="T15" s="2" t="s">
        <v>7</v>
      </c>
      <c r="U15" t="s">
        <v>46</v>
      </c>
    </row>
    <row r="16" spans="1:21" x14ac:dyDescent="0.25">
      <c r="T16" s="2" t="s">
        <v>8</v>
      </c>
      <c r="U16" t="s">
        <v>60</v>
      </c>
    </row>
    <row r="17" spans="20:21" x14ac:dyDescent="0.25">
      <c r="T17" s="2" t="s">
        <v>26</v>
      </c>
      <c r="U17" t="s">
        <v>47</v>
      </c>
    </row>
    <row r="18" spans="20:21" x14ac:dyDescent="0.25">
      <c r="T18" s="2" t="s">
        <v>27</v>
      </c>
      <c r="U18" t="s">
        <v>48</v>
      </c>
    </row>
    <row r="19" spans="20:21" x14ac:dyDescent="0.25">
      <c r="T19" s="2" t="s">
        <v>9</v>
      </c>
      <c r="U19" t="s">
        <v>49</v>
      </c>
    </row>
    <row r="20" spans="20:21" x14ac:dyDescent="0.25">
      <c r="T20" s="2" t="s">
        <v>19</v>
      </c>
      <c r="U20" t="s">
        <v>50</v>
      </c>
    </row>
    <row r="21" spans="20:21" x14ac:dyDescent="0.25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5" x14ac:dyDescent="0.25"/>
  <cols>
    <col min="1" max="1" width="23" bestFit="1" customWidth="1"/>
    <col min="2" max="2" width="30.28515625" bestFit="1" customWidth="1"/>
    <col min="3" max="3" width="73" bestFit="1" customWidth="1"/>
    <col min="4" max="4" width="5.85546875" bestFit="1" customWidth="1"/>
    <col min="5" max="8" width="9.7109375" bestFit="1" customWidth="1"/>
    <col min="9" max="9" width="13.7109375" bestFit="1" customWidth="1"/>
    <col min="10" max="10" width="15.5703125" bestFit="1" customWidth="1"/>
    <col min="11" max="11" width="23" bestFit="1" customWidth="1"/>
  </cols>
  <sheetData>
    <row r="1" spans="1:4" x14ac:dyDescent="0.25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25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25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25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25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25">
      <c r="A6" s="1" t="s">
        <v>60</v>
      </c>
      <c r="B6" s="1" t="s">
        <v>33</v>
      </c>
      <c r="C6" s="1" t="s">
        <v>54</v>
      </c>
      <c r="D6" s="1">
        <v>1</v>
      </c>
    </row>
    <row r="7" spans="1:4" x14ac:dyDescent="0.25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25">
      <c r="A8" s="1" t="s">
        <v>51</v>
      </c>
      <c r="B8" s="1" t="s">
        <v>33</v>
      </c>
      <c r="C8" s="1" t="s">
        <v>54</v>
      </c>
      <c r="D8" s="1">
        <v>1</v>
      </c>
    </row>
    <row r="9" spans="1:4" x14ac:dyDescent="0.25">
      <c r="A9" s="1" t="s">
        <v>43</v>
      </c>
      <c r="B9" s="1" t="s">
        <v>33</v>
      </c>
      <c r="C9" s="1" t="s">
        <v>54</v>
      </c>
      <c r="D9" s="1">
        <v>1</v>
      </c>
    </row>
    <row r="10" spans="1:4" x14ac:dyDescent="0.25">
      <c r="A10" s="1" t="s">
        <v>35</v>
      </c>
      <c r="B10" s="1" t="s">
        <v>31</v>
      </c>
      <c r="C10" s="1" t="s">
        <v>52</v>
      </c>
      <c r="D10" s="1">
        <v>2</v>
      </c>
    </row>
    <row r="11" spans="1:4" x14ac:dyDescent="0.25">
      <c r="A11" s="1" t="s">
        <v>39</v>
      </c>
      <c r="B11" s="1" t="s">
        <v>30</v>
      </c>
      <c r="C11" s="1" t="s">
        <v>52</v>
      </c>
      <c r="D11" s="1">
        <v>2</v>
      </c>
    </row>
    <row r="12" spans="1:4" x14ac:dyDescent="0.25">
      <c r="A12" s="1" t="s">
        <v>37</v>
      </c>
      <c r="B12" s="1" t="s">
        <v>30</v>
      </c>
      <c r="C12" s="1" t="s">
        <v>52</v>
      </c>
      <c r="D12" s="1">
        <v>2</v>
      </c>
    </row>
    <row r="13" spans="1:4" x14ac:dyDescent="0.25">
      <c r="A13" s="1" t="s">
        <v>34</v>
      </c>
      <c r="B13" s="1" t="s">
        <v>30</v>
      </c>
      <c r="C13" s="1" t="s">
        <v>52</v>
      </c>
      <c r="D13" s="1">
        <v>2</v>
      </c>
    </row>
    <row r="14" spans="1:4" x14ac:dyDescent="0.25">
      <c r="A14" s="1" t="s">
        <v>38</v>
      </c>
      <c r="B14" s="1" t="s">
        <v>30</v>
      </c>
      <c r="C14" s="1" t="s">
        <v>52</v>
      </c>
      <c r="D14" s="1">
        <v>2</v>
      </c>
    </row>
    <row r="15" spans="1:4" x14ac:dyDescent="0.25">
      <c r="A15" s="1" t="s">
        <v>50</v>
      </c>
      <c r="B15" s="1" t="s">
        <v>31</v>
      </c>
      <c r="C15" s="1" t="s">
        <v>52</v>
      </c>
      <c r="D15" s="1">
        <v>2</v>
      </c>
    </row>
    <row r="16" spans="1:4" x14ac:dyDescent="0.25">
      <c r="A16" s="1" t="s">
        <v>44</v>
      </c>
      <c r="B16" s="1" t="s">
        <v>30</v>
      </c>
      <c r="C16" s="1" t="s">
        <v>52</v>
      </c>
      <c r="D16" s="1">
        <v>2</v>
      </c>
    </row>
    <row r="17" spans="1:4" x14ac:dyDescent="0.25">
      <c r="A17" s="1" t="s">
        <v>40</v>
      </c>
      <c r="B17" s="1" t="s">
        <v>31</v>
      </c>
      <c r="C17" s="1" t="s">
        <v>53</v>
      </c>
      <c r="D17" s="1">
        <v>3</v>
      </c>
    </row>
    <row r="18" spans="1:4" x14ac:dyDescent="0.25">
      <c r="A18" s="1" t="s">
        <v>47</v>
      </c>
      <c r="B18" s="1" t="s">
        <v>30</v>
      </c>
      <c r="C18" s="1" t="s">
        <v>53</v>
      </c>
      <c r="D18" s="1">
        <v>3</v>
      </c>
    </row>
    <row r="19" spans="1:4" x14ac:dyDescent="0.25">
      <c r="A19" s="1" t="s">
        <v>48</v>
      </c>
      <c r="B19" s="1" t="s">
        <v>30</v>
      </c>
      <c r="C19" s="1" t="s">
        <v>53</v>
      </c>
      <c r="D19" s="1">
        <v>3</v>
      </c>
    </row>
    <row r="20" spans="1:4" x14ac:dyDescent="0.25">
      <c r="A20" s="1" t="s">
        <v>42</v>
      </c>
      <c r="B20" s="1" t="s">
        <v>30</v>
      </c>
      <c r="C20" s="1" t="s">
        <v>53</v>
      </c>
      <c r="D20" s="1">
        <v>3</v>
      </c>
    </row>
    <row r="21" spans="1:4" x14ac:dyDescent="0.25">
      <c r="A21" s="1" t="s">
        <v>61</v>
      </c>
      <c r="B21" s="1" t="s">
        <v>30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tabSelected="1" view="pageBreakPreview" topLeftCell="A19" zoomScaleNormal="70" zoomScaleSheetLayoutView="100" workbookViewId="0">
      <selection activeCell="B5" sqref="B5"/>
    </sheetView>
  </sheetViews>
  <sheetFormatPr defaultRowHeight="15" x14ac:dyDescent="0.25"/>
  <cols>
    <col min="1" max="1" width="29.7109375" customWidth="1"/>
    <col min="2" max="2" width="9" customWidth="1"/>
    <col min="3" max="3" width="14.28515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2" spans="1:7" ht="24" customHeight="1" x14ac:dyDescent="0.25"/>
    <row r="3" spans="1:7" ht="18" customHeight="1" x14ac:dyDescent="0.25">
      <c r="A3" s="16" t="s">
        <v>58</v>
      </c>
      <c r="B3" s="16"/>
      <c r="C3" s="16"/>
      <c r="D3" s="16"/>
      <c r="E3" s="16"/>
      <c r="F3" s="16"/>
      <c r="G3" s="16"/>
    </row>
    <row r="4" spans="1:7" ht="19.5" customHeight="1" x14ac:dyDescent="0.25">
      <c r="A4" s="16" t="str">
        <f>VLOOKUP("Номер",Данные[],2,0)</f>
        <v>№172/1137</v>
      </c>
      <c r="B4" s="16"/>
      <c r="C4" s="16"/>
      <c r="D4" s="16"/>
      <c r="E4" s="16"/>
      <c r="F4" s="16"/>
      <c r="G4" s="16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25.01.2023</v>
      </c>
      <c r="B5" s="11"/>
      <c r="C5" s="11"/>
      <c r="D5" s="11" t="s">
        <v>62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18525</v>
      </c>
      <c r="B6" s="11"/>
      <c r="C6" s="11"/>
      <c r="D6" s="11" t="s">
        <v>63</v>
      </c>
      <c r="E6" s="11"/>
      <c r="F6" s="11"/>
      <c r="G6" s="11"/>
    </row>
    <row r="7" spans="1:7" ht="20.100000000000001" customHeight="1" x14ac:dyDescent="0.3">
      <c r="A7" s="11" t="s">
        <v>69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>Дата рождения: 16.02.1980</v>
      </c>
      <c r="B8" s="11"/>
      <c r="C8" s="11"/>
      <c r="D8" s="11" t="str">
        <f>"Пол: "&amp;VLOOKUP("Пол",Данные[],2,0)</f>
        <v>Пол: женский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71</v>
      </c>
      <c r="B10" s="11"/>
      <c r="C10" s="11"/>
      <c r="D10" s="11"/>
      <c r="E10" s="11"/>
      <c r="F10" s="11"/>
      <c r="G10" s="11"/>
    </row>
    <row r="11" spans="1:7" ht="10.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25">
      <c r="A12" s="20" t="s">
        <v>66</v>
      </c>
      <c r="B12" s="20"/>
      <c r="C12" s="20"/>
      <c r="D12" s="20"/>
      <c r="E12" s="20"/>
      <c r="F12" s="20"/>
      <c r="G12" s="10" t="s">
        <v>64</v>
      </c>
    </row>
    <row r="13" spans="1:7" ht="23.1" customHeight="1" x14ac:dyDescent="0.25">
      <c r="A13" s="19" t="s">
        <v>58</v>
      </c>
      <c r="B13" s="19"/>
      <c r="C13" s="19"/>
      <c r="D13" s="19"/>
      <c r="E13" s="19"/>
      <c r="F13" s="19"/>
      <c r="G13" s="5" t="s">
        <v>65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25">
      <c r="A15" s="12" t="s">
        <v>57</v>
      </c>
      <c r="B15" s="21" t="s">
        <v>56</v>
      </c>
      <c r="C15" s="21"/>
      <c r="D15" s="21"/>
      <c r="E15" s="21" t="s">
        <v>55</v>
      </c>
      <c r="F15" s="21"/>
      <c r="G15" s="21"/>
    </row>
    <row r="16" spans="1:7" ht="23.1" customHeight="1" x14ac:dyDescent="0.25">
      <c r="A16" s="17" t="s">
        <v>54</v>
      </c>
      <c r="B16" s="17" t="s">
        <v>36</v>
      </c>
      <c r="C16" s="17"/>
      <c r="D16" s="17"/>
      <c r="E16" s="17" t="str">
        <f>VLOOKUP(B16,МЛУ[],2,0)</f>
        <v>Чувствителен</v>
      </c>
      <c r="F16" s="17"/>
      <c r="G16" s="17"/>
    </row>
    <row r="17" spans="1:7" ht="23.1" customHeight="1" x14ac:dyDescent="0.25">
      <c r="A17" s="17"/>
      <c r="B17" s="17" t="s">
        <v>41</v>
      </c>
      <c r="C17" s="17"/>
      <c r="D17" s="17"/>
      <c r="E17" s="17" t="str">
        <f>VLOOKUP(B17,МЛУ[],2,0)</f>
        <v>Чувствителен</v>
      </c>
      <c r="F17" s="17"/>
      <c r="G17" s="17"/>
    </row>
    <row r="18" spans="1:7" ht="23.1" customHeight="1" x14ac:dyDescent="0.25">
      <c r="A18" s="17"/>
      <c r="B18" s="17" t="s">
        <v>43</v>
      </c>
      <c r="C18" s="17"/>
      <c r="D18" s="17"/>
      <c r="E18" s="17" t="str">
        <f>VLOOKUP(B18,МЛУ[],2,0)</f>
        <v>Чувствителен</v>
      </c>
      <c r="F18" s="17"/>
      <c r="G18" s="17"/>
    </row>
    <row r="19" spans="1:7" ht="23.1" customHeight="1" x14ac:dyDescent="0.25">
      <c r="A19" s="17"/>
      <c r="B19" s="17" t="s">
        <v>45</v>
      </c>
      <c r="C19" s="17"/>
      <c r="D19" s="17"/>
      <c r="E19" s="17" t="str">
        <f>VLOOKUP(B19,МЛУ[],2,0)</f>
        <v>Чувствителен</v>
      </c>
      <c r="F19" s="17"/>
      <c r="G19" s="17"/>
    </row>
    <row r="20" spans="1:7" ht="23.1" customHeight="1" x14ac:dyDescent="0.25">
      <c r="A20" s="17"/>
      <c r="B20" s="17" t="s">
        <v>46</v>
      </c>
      <c r="C20" s="17"/>
      <c r="D20" s="17"/>
      <c r="E20" s="17" t="str">
        <f>VLOOKUP(B20,МЛУ[],2,0)</f>
        <v>Чувствителен</v>
      </c>
      <c r="F20" s="17"/>
      <c r="G20" s="17"/>
    </row>
    <row r="21" spans="1:7" ht="23.1" customHeight="1" x14ac:dyDescent="0.25">
      <c r="A21" s="17"/>
      <c r="B21" s="17" t="s">
        <v>60</v>
      </c>
      <c r="C21" s="17"/>
      <c r="D21" s="17"/>
      <c r="E21" s="17" t="str">
        <f>VLOOKUP(B21,МЛУ[],2,0)</f>
        <v>Чувствителен</v>
      </c>
      <c r="F21" s="17"/>
      <c r="G21" s="17"/>
    </row>
    <row r="22" spans="1:7" ht="23.1" customHeight="1" x14ac:dyDescent="0.25">
      <c r="A22" s="17"/>
      <c r="B22" s="17" t="s">
        <v>49</v>
      </c>
      <c r="C22" s="17"/>
      <c r="D22" s="17"/>
      <c r="E22" s="17" t="str">
        <f>VLOOKUP(B22,МЛУ[],2,0)</f>
        <v>Чувствителен</v>
      </c>
      <c r="F22" s="17"/>
      <c r="G22" s="17"/>
    </row>
    <row r="23" spans="1:7" ht="23.1" customHeight="1" x14ac:dyDescent="0.25">
      <c r="A23" s="17"/>
      <c r="B23" s="17" t="s">
        <v>51</v>
      </c>
      <c r="C23" s="17"/>
      <c r="D23" s="17"/>
      <c r="E23" s="17" t="str">
        <f>VLOOKUP(B23,МЛУ[],2,0)</f>
        <v>Чувствителен</v>
      </c>
      <c r="F23" s="17"/>
      <c r="G23" s="17"/>
    </row>
    <row r="24" spans="1:7" ht="23.1" customHeight="1" x14ac:dyDescent="0.25">
      <c r="A24" s="17" t="s">
        <v>52</v>
      </c>
      <c r="B24" s="17" t="s">
        <v>50</v>
      </c>
      <c r="C24" s="17"/>
      <c r="D24" s="17"/>
      <c r="E24" s="17" t="str">
        <f>VLOOKUP(B24,МЛУ[],2,0)</f>
        <v>Средний уровень устойчивости</v>
      </c>
      <c r="F24" s="17"/>
      <c r="G24" s="17"/>
    </row>
    <row r="25" spans="1:7" ht="23.1" customHeight="1" x14ac:dyDescent="0.25">
      <c r="A25" s="17"/>
      <c r="B25" s="17" t="s">
        <v>44</v>
      </c>
      <c r="C25" s="17"/>
      <c r="D25" s="17"/>
      <c r="E25" s="17" t="str">
        <f>VLOOKUP(B25,МЛУ[],2,0)</f>
        <v>Высокий уровень устойчивости</v>
      </c>
      <c r="F25" s="17"/>
      <c r="G25" s="17"/>
    </row>
    <row r="26" spans="1:7" ht="23.1" customHeight="1" x14ac:dyDescent="0.25">
      <c r="A26" s="17"/>
      <c r="B26" s="17" t="s">
        <v>37</v>
      </c>
      <c r="C26" s="17"/>
      <c r="D26" s="17"/>
      <c r="E26" s="17" t="str">
        <f>VLOOKUP(B26,МЛУ[],2,0)</f>
        <v>Высокий уровень устойчивости</v>
      </c>
      <c r="F26" s="17"/>
      <c r="G26" s="17"/>
    </row>
    <row r="27" spans="1:7" ht="23.1" customHeight="1" x14ac:dyDescent="0.25">
      <c r="A27" s="17"/>
      <c r="B27" s="17" t="s">
        <v>38</v>
      </c>
      <c r="C27" s="17"/>
      <c r="D27" s="17"/>
      <c r="E27" s="17" t="str">
        <f>VLOOKUP(B27,МЛУ[],2,0)</f>
        <v>Высокий уровень устойчивости</v>
      </c>
      <c r="F27" s="17"/>
      <c r="G27" s="17"/>
    </row>
    <row r="28" spans="1:7" ht="23.1" customHeight="1" x14ac:dyDescent="0.25">
      <c r="A28" s="17"/>
      <c r="B28" s="17" t="s">
        <v>39</v>
      </c>
      <c r="C28" s="17"/>
      <c r="D28" s="17"/>
      <c r="E28" s="17" t="str">
        <f>VLOOKUP(B28,МЛУ[],2,0)</f>
        <v>Высокий уровень устойчивости</v>
      </c>
      <c r="F28" s="17"/>
      <c r="G28" s="17"/>
    </row>
    <row r="29" spans="1:7" ht="23.1" customHeight="1" x14ac:dyDescent="0.25">
      <c r="A29" s="17"/>
      <c r="B29" s="17" t="s">
        <v>34</v>
      </c>
      <c r="C29" s="17"/>
      <c r="D29" s="17"/>
      <c r="E29" s="17" t="str">
        <f>VLOOKUP(B29,МЛУ[],2,0)</f>
        <v>Высокий уровень устойчивости</v>
      </c>
      <c r="F29" s="17"/>
      <c r="G29" s="17"/>
    </row>
    <row r="30" spans="1:7" ht="23.1" customHeight="1" x14ac:dyDescent="0.25">
      <c r="A30" s="17"/>
      <c r="B30" s="17" t="s">
        <v>35</v>
      </c>
      <c r="C30" s="17"/>
      <c r="D30" s="17"/>
      <c r="E30" s="17" t="str">
        <f>VLOOKUP(B30,МЛУ[],2,0)</f>
        <v>Средний уровень устойчивости</v>
      </c>
      <c r="F30" s="17"/>
      <c r="G30" s="17"/>
    </row>
    <row r="31" spans="1:7" ht="23.1" customHeight="1" x14ac:dyDescent="0.25">
      <c r="A31" s="17" t="s">
        <v>75</v>
      </c>
      <c r="B31" s="17" t="s">
        <v>48</v>
      </c>
      <c r="C31" s="17"/>
      <c r="D31" s="17"/>
      <c r="E31" s="17" t="str">
        <f>VLOOKUP(B31,МЛУ[],2,0)</f>
        <v>Высокий уровень устойчивости</v>
      </c>
      <c r="F31" s="17"/>
      <c r="G31" s="17"/>
    </row>
    <row r="32" spans="1:7" ht="23.1" customHeight="1" x14ac:dyDescent="0.25">
      <c r="A32" s="17"/>
      <c r="B32" s="17" t="s">
        <v>61</v>
      </c>
      <c r="C32" s="17"/>
      <c r="D32" s="17"/>
      <c r="E32" s="17" t="str">
        <f>VLOOKUP(B32,МЛУ[],2,0)</f>
        <v>Высокий уровень устойчивости</v>
      </c>
      <c r="F32" s="17"/>
      <c r="G32" s="17"/>
    </row>
    <row r="33" spans="1:7" ht="23.1" customHeight="1" x14ac:dyDescent="0.25">
      <c r="A33" s="17"/>
      <c r="B33" s="17" t="s">
        <v>42</v>
      </c>
      <c r="C33" s="17"/>
      <c r="D33" s="17"/>
      <c r="E33" s="17" t="str">
        <f>VLOOKUP(B33,МЛУ[],2,0)</f>
        <v>Высокий уровень устойчивости</v>
      </c>
      <c r="F33" s="17"/>
      <c r="G33" s="17"/>
    </row>
    <row r="34" spans="1:7" ht="23.1" customHeight="1" x14ac:dyDescent="0.25">
      <c r="A34" s="17"/>
      <c r="B34" s="17" t="s">
        <v>47</v>
      </c>
      <c r="C34" s="17"/>
      <c r="D34" s="17"/>
      <c r="E34" s="17" t="str">
        <f>VLOOKUP(B34,МЛУ[],2,0)</f>
        <v>Высокий уровень устойчивости</v>
      </c>
      <c r="F34" s="17"/>
      <c r="G34" s="17"/>
    </row>
    <row r="35" spans="1:7" ht="5.25" customHeight="1" x14ac:dyDescent="0.25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88</v>
      </c>
      <c r="B36" s="6"/>
      <c r="C36" s="6"/>
      <c r="D36" s="6"/>
      <c r="E36" s="6"/>
      <c r="F36" s="18" t="s">
        <v>67</v>
      </c>
      <c r="G36" s="18"/>
    </row>
    <row r="37" spans="1:7" ht="18.75" customHeight="1" x14ac:dyDescent="0.3">
      <c r="A37" s="6" t="s">
        <v>68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Климова Анна Александровна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28.07.2023</v>
      </c>
      <c r="B39" s="6"/>
      <c r="C39" s="6"/>
      <c r="D39" s="15" t="s">
        <v>72</v>
      </c>
      <c r="E39" s="15"/>
      <c r="F39" s="15"/>
      <c r="G39" s="15"/>
    </row>
    <row r="40" spans="1:7" ht="21.75" customHeight="1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</sheetData>
  <mergeCells count="49">
    <mergeCell ref="B15:D15"/>
    <mergeCell ref="B16:D16"/>
    <mergeCell ref="B17:D17"/>
    <mergeCell ref="B18:D18"/>
    <mergeCell ref="B19:D19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E27:G27"/>
    <mergeCell ref="E28:G28"/>
    <mergeCell ref="B28:D28"/>
    <mergeCell ref="B29:D29"/>
    <mergeCell ref="B30:D30"/>
    <mergeCell ref="E22:G22"/>
    <mergeCell ref="E23:G23"/>
    <mergeCell ref="E24:G24"/>
    <mergeCell ref="E25:G25"/>
    <mergeCell ref="E26:G26"/>
    <mergeCell ref="E17:G17"/>
    <mergeCell ref="E18:G18"/>
    <mergeCell ref="E19:G19"/>
    <mergeCell ref="E20:G20"/>
    <mergeCell ref="E21:G21"/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8D0F0B-C44A-4112-8FB3-546CF63771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S</vt:lpstr>
      <vt:lpstr>Лист2</vt:lpstr>
      <vt:lpstr>Отчет</vt:lpstr>
      <vt:lpstr>Отчет!Область_печати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User</cp:lastModifiedBy>
  <cp:lastPrinted>2023-08-02T09:48:13Z</cp:lastPrinted>
  <dcterms:created xsi:type="dcterms:W3CDTF">2022-11-21T11:31:48Z</dcterms:created>
  <dcterms:modified xsi:type="dcterms:W3CDTF">2023-08-02T10:01:00Z</dcterms:modified>
</cp:coreProperties>
</file>