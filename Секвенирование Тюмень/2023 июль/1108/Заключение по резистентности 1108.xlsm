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08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97d74dab-a85f-43e5-9b93-814178c44041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<sst xmlns="http://schemas.openxmlformats.org/spreadsheetml/2006/main" count="183" uniqueCount="93">
  <si>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</si>
  <si>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</si>
  <si>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</si>
  <si>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</si>
  <si>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</si>
  <si>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</si>
  <si>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</si>
  <si>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</si>
  <si>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</si>
  <si>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</si>
  <si>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</si>
  <si>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</si>
  <si>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</si>
  <si>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</si>
  <si>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</si>
  <si>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</si>
  <si>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</si>
  <si>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</si>
  <si>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</si>
  <si>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</si>
  <si>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</si>
  <si>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</si>
  <si>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</si>
  <si>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</si>
  <si>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</si>
  <si>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</si>
  <si>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</si>
  <si>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</si>
  <si>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</si>
  <si>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</si>
  <si>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</si>
  <si>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</si>
  <si>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</si>
  <si>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</si>
  <si>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</si>
  <si>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</si>
  <si>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</si>
  <si>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</si>
  <si>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</si>
  <si>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</si>
  <si>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</si>
  <si>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</si>
  <si>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</si>
  <si>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</si>
  <si>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</si>
  <si>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</si>
  <si>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</si>
  <si>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</si>
  <si>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</si>
  <si>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</si>
  <si>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</si>
  <si>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</si>
  <si>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</si>
  <si>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</si>
  <si>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</si>
  <si>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</si>
  <si>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</si>
  <si>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</si>
  <si>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</si>
  <si>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</si>
  <si>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</si>
  <si>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</si>
  <si>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</si>
  <si>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</si>
  <si>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</si>
  <si>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</si>
  <si>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</si>
  <si>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</si>
  <si>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</si>
  <si>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</si>
  <si>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</si>
  <si>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</si>
  <si>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</si>
  <si>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</si>
  <si>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</si>
  <si>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</si>
  <si>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</si>
  <si>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</si>
  <si>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</si>
  <si>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</si>
  <si>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</si>
  <si>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</si>
  <si>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</si>
  <si>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</si>
  <si>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</si>
  <si>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</si>
  <si>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</si>
  <si>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</si>
  <si>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</si>
  <si>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№135/1108</t>
  </si>
  <si>
    <t>женский</t>
  </si>
  <si>
    <t>Климова Анна Александровна</t>
  </si>
  <si>
    <t>c:\Users\User\Projects\Work\Секвениролвание Тюмень июль 2023\1108\Raw_1108_135.json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</si>
</sst>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5"/>
      <queryTableField id="2" name="Уровень устойчивости" tableColumnId="6"/>
      <queryTableField id="3" name="Тип препарата" tableColumnId="7"/>
      <queryTableField id="4" name="ПН" tableColumnId="8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5" uniqueName="5" name="Название препарата" queryTableFieldId="1" dataDxfId="3"/>
    <tableColumn id="6" uniqueName="6" name="Уровень устойчивости" queryTableFieldId="2" dataDxfId="2"/>
    <tableColumn id="7" uniqueName="7" name="Тип препарата" queryTableFieldId="3" dataDxfId="1"/>
    <tableColumn id="8" uniqueName="8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B13" sqref="B13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92</v>
      </c>
      <c r="C2" t="s">
        <v>76</v>
      </c>
      <c r="D2" t="s">
        <v>89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44902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9212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30891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90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91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31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31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32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31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30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30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19" zoomScaleNormal="70" zoomScaleSheetLayoutView="100" workbookViewId="0">
      <selection activeCell="L33" sqref="L33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6" t="s">
        <v>58</v>
      </c>
      <c r="B3" s="16"/>
      <c r="C3" s="16"/>
      <c r="D3" s="16"/>
      <c r="E3" s="16"/>
      <c r="F3" s="16"/>
      <c r="G3" s="16"/>
    </row>
    <row r="4" spans="1:7" ht="19.5" customHeight="1" x14ac:dyDescent="0.25">
      <c r="A4" s="16" t="str">
        <f>VLOOKUP("Номер",Данные[],2,0)</f>
        <v>№135/1108</v>
      </c>
      <c r="B4" s="16"/>
      <c r="C4" s="16"/>
      <c r="D4" s="16"/>
      <c r="E4" s="16"/>
      <c r="F4" s="16"/>
      <c r="G4" s="16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07.12.2022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9212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28.07.1984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0" t="s">
        <v>66</v>
      </c>
      <c r="B12" s="20"/>
      <c r="C12" s="20"/>
      <c r="D12" s="20"/>
      <c r="E12" s="20"/>
      <c r="F12" s="20"/>
      <c r="G12" s="10" t="s">
        <v>64</v>
      </c>
    </row>
    <row r="13" spans="1:7" ht="23.1" customHeight="1" x14ac:dyDescent="0.25">
      <c r="A13" s="19" t="s">
        <v>58</v>
      </c>
      <c r="B13" s="19"/>
      <c r="C13" s="19"/>
      <c r="D13" s="19"/>
      <c r="E13" s="19"/>
      <c r="F13" s="19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1" t="s">
        <v>56</v>
      </c>
      <c r="C15" s="21"/>
      <c r="D15" s="21"/>
      <c r="E15" s="21" t="s">
        <v>55</v>
      </c>
      <c r="F15" s="21"/>
      <c r="G15" s="21"/>
    </row>
    <row r="16" spans="1:7" ht="23.1" customHeight="1" x14ac:dyDescent="0.25">
      <c r="A16" s="17" t="s">
        <v>54</v>
      </c>
      <c r="B16" s="17" t="s">
        <v>36</v>
      </c>
      <c r="C16" s="17"/>
      <c r="D16" s="17"/>
      <c r="E16" s="17" t="str">
        <f>VLOOKUP(B16,МЛУ[],2,0)</f>
        <v>Чувствителен</v>
      </c>
      <c r="F16" s="17"/>
      <c r="G16" s="17"/>
    </row>
    <row r="17" spans="1:7" ht="23.1" customHeight="1" x14ac:dyDescent="0.25">
      <c r="A17" s="17"/>
      <c r="B17" s="17" t="s">
        <v>41</v>
      </c>
      <c r="C17" s="17"/>
      <c r="D17" s="17"/>
      <c r="E17" s="17" t="str">
        <f>VLOOKUP(B17,МЛУ[],2,0)</f>
        <v>Чувствителен</v>
      </c>
      <c r="F17" s="17"/>
      <c r="G17" s="17"/>
    </row>
    <row r="18" spans="1:7" ht="23.1" customHeight="1" x14ac:dyDescent="0.25">
      <c r="A18" s="17"/>
      <c r="B18" s="17" t="s">
        <v>43</v>
      </c>
      <c r="C18" s="17"/>
      <c r="D18" s="17"/>
      <c r="E18" s="17" t="str">
        <f>VLOOKUP(B18,МЛУ[],2,0)</f>
        <v>Чувствителен</v>
      </c>
      <c r="F18" s="17"/>
      <c r="G18" s="17"/>
    </row>
    <row r="19" spans="1:7" ht="23.1" customHeight="1" x14ac:dyDescent="0.25">
      <c r="A19" s="17"/>
      <c r="B19" s="17" t="s">
        <v>45</v>
      </c>
      <c r="C19" s="17"/>
      <c r="D19" s="17"/>
      <c r="E19" s="17" t="str">
        <f>VLOOKUP(B19,МЛУ[],2,0)</f>
        <v>Чувствителен</v>
      </c>
      <c r="F19" s="17"/>
      <c r="G19" s="17"/>
    </row>
    <row r="20" spans="1:7" ht="23.1" customHeight="1" x14ac:dyDescent="0.25">
      <c r="A20" s="17"/>
      <c r="B20" s="17" t="s">
        <v>46</v>
      </c>
      <c r="C20" s="17"/>
      <c r="D20" s="17"/>
      <c r="E20" s="17" t="str">
        <f>VLOOKUP(B20,МЛУ[],2,0)</f>
        <v>Чувствителен</v>
      </c>
      <c r="F20" s="17"/>
      <c r="G20" s="17"/>
    </row>
    <row r="21" spans="1:7" ht="23.1" customHeight="1" x14ac:dyDescent="0.25">
      <c r="A21" s="17"/>
      <c r="B21" s="17" t="s">
        <v>60</v>
      </c>
      <c r="C21" s="17"/>
      <c r="D21" s="17"/>
      <c r="E21" s="17" t="str">
        <f>VLOOKUP(B21,МЛУ[],2,0)</f>
        <v>Чувствителен</v>
      </c>
      <c r="F21" s="17"/>
      <c r="G21" s="17"/>
    </row>
    <row r="22" spans="1:7" ht="23.1" customHeight="1" x14ac:dyDescent="0.25">
      <c r="A22" s="17"/>
      <c r="B22" s="17" t="s">
        <v>49</v>
      </c>
      <c r="C22" s="17"/>
      <c r="D22" s="17"/>
      <c r="E22" s="17" t="str">
        <f>VLOOKUP(B22,МЛУ[],2,0)</f>
        <v>Чувствителен</v>
      </c>
      <c r="F22" s="17"/>
      <c r="G22" s="17"/>
    </row>
    <row r="23" spans="1:7" ht="23.1" customHeight="1" x14ac:dyDescent="0.25">
      <c r="A23" s="17"/>
      <c r="B23" s="17" t="s">
        <v>51</v>
      </c>
      <c r="C23" s="17"/>
      <c r="D23" s="17"/>
      <c r="E23" s="17" t="str">
        <f>VLOOKUP(B23,МЛУ[],2,0)</f>
        <v>Чувствителен</v>
      </c>
      <c r="F23" s="17"/>
      <c r="G23" s="17"/>
    </row>
    <row r="24" spans="1:7" ht="23.1" customHeight="1" x14ac:dyDescent="0.25">
      <c r="A24" s="17" t="s">
        <v>52</v>
      </c>
      <c r="B24" s="17" t="s">
        <v>50</v>
      </c>
      <c r="C24" s="17"/>
      <c r="D24" s="17"/>
      <c r="E24" s="17" t="str">
        <f>VLOOKUP(B24,МЛУ[],2,0)</f>
        <v>Низкий уровень устойчивости</v>
      </c>
      <c r="F24" s="17"/>
      <c r="G24" s="17"/>
    </row>
    <row r="25" spans="1:7" ht="23.1" customHeight="1" x14ac:dyDescent="0.25">
      <c r="A25" s="17"/>
      <c r="B25" s="17" t="s">
        <v>44</v>
      </c>
      <c r="C25" s="17"/>
      <c r="D25" s="17"/>
      <c r="E25" s="17" t="str">
        <f>VLOOKUP(B25,МЛУ[],2,0)</f>
        <v>Высокий уровень устойчивости</v>
      </c>
      <c r="F25" s="17"/>
      <c r="G25" s="17"/>
    </row>
    <row r="26" spans="1:7" ht="23.1" customHeight="1" x14ac:dyDescent="0.25">
      <c r="A26" s="17"/>
      <c r="B26" s="17" t="s">
        <v>37</v>
      </c>
      <c r="C26" s="17"/>
      <c r="D26" s="17"/>
      <c r="E26" s="17" t="str">
        <f>VLOOKUP(B26,МЛУ[],2,0)</f>
        <v>Средний уровень устойчивости</v>
      </c>
      <c r="F26" s="17"/>
      <c r="G26" s="17"/>
    </row>
    <row r="27" spans="1:7" ht="23.1" customHeight="1" x14ac:dyDescent="0.25">
      <c r="A27" s="17"/>
      <c r="B27" s="17" t="s">
        <v>38</v>
      </c>
      <c r="C27" s="17"/>
      <c r="D27" s="17"/>
      <c r="E27" s="17" t="str">
        <f>VLOOKUP(B27,МЛУ[],2,0)</f>
        <v>Средний уровень устойчивости</v>
      </c>
      <c r="F27" s="17"/>
      <c r="G27" s="17"/>
    </row>
    <row r="28" spans="1:7" ht="23.1" customHeight="1" x14ac:dyDescent="0.25">
      <c r="A28" s="17"/>
      <c r="B28" s="17" t="s">
        <v>39</v>
      </c>
      <c r="C28" s="17"/>
      <c r="D28" s="17"/>
      <c r="E28" s="17" t="str">
        <f>VLOOKUP(B28,МЛУ[],2,0)</f>
        <v>Высокий уровень устойчивости</v>
      </c>
      <c r="F28" s="17"/>
      <c r="G28" s="17"/>
    </row>
    <row r="29" spans="1:7" ht="23.1" customHeight="1" x14ac:dyDescent="0.25">
      <c r="A29" s="17"/>
      <c r="B29" s="17" t="s">
        <v>34</v>
      </c>
      <c r="C29" s="17"/>
      <c r="D29" s="17"/>
      <c r="E29" s="17" t="str">
        <f>VLOOKUP(B29,МЛУ[],2,0)</f>
        <v>Высокий уровень устойчивости</v>
      </c>
      <c r="F29" s="17"/>
      <c r="G29" s="17"/>
    </row>
    <row r="30" spans="1:7" ht="23.1" customHeight="1" x14ac:dyDescent="0.25">
      <c r="A30" s="17"/>
      <c r="B30" s="17" t="s">
        <v>35</v>
      </c>
      <c r="C30" s="17"/>
      <c r="D30" s="17"/>
      <c r="E30" s="17" t="str">
        <f>VLOOKUP(B30,МЛУ[],2,0)</f>
        <v>Высокий уровень устойчивости</v>
      </c>
      <c r="F30" s="17"/>
      <c r="G30" s="17"/>
    </row>
    <row r="31" spans="1:7" ht="23.1" customHeight="1" x14ac:dyDescent="0.25">
      <c r="A31" s="17" t="s">
        <v>75</v>
      </c>
      <c r="B31" s="17" t="s">
        <v>48</v>
      </c>
      <c r="C31" s="17"/>
      <c r="D31" s="17"/>
      <c r="E31" s="17" t="str">
        <f>VLOOKUP(B31,МЛУ[],2,0)</f>
        <v>Высокий уровень устойчивости</v>
      </c>
      <c r="F31" s="17"/>
      <c r="G31" s="17"/>
    </row>
    <row r="32" spans="1:7" ht="23.1" customHeight="1" x14ac:dyDescent="0.25">
      <c r="A32" s="17"/>
      <c r="B32" s="17" t="s">
        <v>61</v>
      </c>
      <c r="C32" s="17"/>
      <c r="D32" s="17"/>
      <c r="E32" s="17" t="str">
        <f>VLOOKUP(B32,МЛУ[],2,0)</f>
        <v>Высокий уровень устойчивости</v>
      </c>
      <c r="F32" s="17"/>
      <c r="G32" s="17"/>
    </row>
    <row r="33" spans="1:7" ht="23.1" customHeight="1" x14ac:dyDescent="0.25">
      <c r="A33" s="17"/>
      <c r="B33" s="17" t="s">
        <v>42</v>
      </c>
      <c r="C33" s="17"/>
      <c r="D33" s="17"/>
      <c r="E33" s="17" t="str">
        <f>VLOOKUP(B33,МЛУ[],2,0)</f>
        <v>Высокий уровень устойчивости</v>
      </c>
      <c r="F33" s="17"/>
      <c r="G33" s="17"/>
    </row>
    <row r="34" spans="1:7" ht="23.1" customHeight="1" x14ac:dyDescent="0.25">
      <c r="A34" s="17"/>
      <c r="B34" s="17" t="s">
        <v>47</v>
      </c>
      <c r="C34" s="17"/>
      <c r="D34" s="17"/>
      <c r="E34" s="17" t="str">
        <f>VLOOKUP(B34,МЛУ[],2,0)</f>
        <v>Высокий уровень устойчивости</v>
      </c>
      <c r="F34" s="17"/>
      <c r="G34" s="17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8" t="s">
        <v>67</v>
      </c>
      <c r="G36" s="18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5" t="s">
        <v>72</v>
      </c>
      <c r="E39" s="15"/>
      <c r="F39" s="15"/>
      <c r="G39" s="15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6F3835-90DC-44CE-87F3-FBE7945352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2023-08-03T05:51:37Z</cp:lastPrinted>
  <dcterms:created xsi:type="dcterms:W3CDTF">2022-11-21T11:31:48Z</dcterms:created>
  <dcterms:modified xsi:type="dcterms:W3CDTF">2023-08-03T05:53:02Z</dcterms:modified>
</cp:coreProperties>
</file>