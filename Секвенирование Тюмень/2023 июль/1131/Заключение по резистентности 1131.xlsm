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8C4F1C90-05EB-6A55-5F09-09C24B55AC0B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User\Projects\Work\Секвениролвание Тюмень июль 2023\1131\"/>
    </mc:Choice>
  </mc:AlternateContent>
  <bookViews>
    <workbookView xWindow="600" yWindow="390" windowWidth="17970" windowHeight="6450" activeTab="2"/>
  </bookViews>
  <sheets>
    <sheet name="S" sheetId="1" r:id="rId1"/>
    <sheet name="Лист2" sheetId="2" r:id="rId2"/>
    <sheet name="Отчет" sheetId="3" r:id="rId3"/>
  </sheets>
  <definedNames>
    <definedName name="ExternalData_1" localSheetId="1" hidden="1">Лист2!$A$1:$D$21</definedName>
    <definedName name="_xlnm.Print_Area" localSheetId="2">Отчет!$A$1:$G$40</definedName>
  </definedNames>
  <calcPr calcId="152511"/>
</workbook>
</file>

<file path=xl/calcChain.xml><?xml version="1.0" encoding="utf-8"?>
<calcChain xmlns="http://schemas.openxmlformats.org/spreadsheetml/2006/main">
  <c r="A39" i="3" l="1"/>
  <c r="A38" i="3"/>
  <c r="A9" i="3"/>
  <c r="D8" i="3"/>
  <c r="A6" i="3"/>
  <c r="A8" i="3"/>
  <c r="A5" i="3"/>
  <c r="A4" i="3"/>
  <c r="E34" i="3" l="1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</calcChain>
</file>

<file path=xl/connections.xml><?xml version="1.0" encoding="utf-8"?>
<connections xmlns="http://schemas.openxmlformats.org/spreadsheetml/2006/main">
  <connection id="1" keepAlive="1" name="Запрос — МЛУ" description="Соединение с запросом &quot;МЛУ&quot; в книге." type="5" refreshedVersion="5" background="1" saveData="1">
    <dbPr connection="provider=Microsoft.Mashup.OleDb.1;data source=$EmbeddedMashup(6d5ec400-9ba4-42db-811a-623a64ed3367)$;location=МЛУ;extended properties=&quot;UEsDBBQAAgAIAGGEdlVhPGNxqwAAAPoAAAASABwAQ29uZmlnL1BhY2thZ2UueG1sIKIYACigFAAAAAAAAAAAAAAAAAAAAAAAAAAAAIWPQQ6CMBREr0K657eFYIR8ysKtJEajcdtAhUYohhbhbi48klfQRDHu3M1M5iUzj9sds6ltvKvqre5MSjgw4ilTdKU2VUoGd/KXJBO4kcVZVsp7lY1NJqtTUjt3SSgdxxHGELq+ogFjnB7z9a6oVSt9bayTplDkS5X/KSLw8B4jAohiiHgYQcA40jnGXJtZc4ggDOIFMKQ/Ma6Gxg29Ev3gb/dIZ4v080M8AVBLAwQUAAIACABhhHZVD8rpq6QAAADpAAAAEwAcAFtDb250ZW50X1R5cGVzXS54bWwgohgAKKAUAAAAAAAAAAAAAAAAAAAAAAAAAAAAbY5LDsIwDESvEnmfurBACDVlAdyAC0TB/Yjmo8ZF4WwsOBJXIG13iKVn5nnm83pXx2QH8aAx9t4p2BQlCHLG33rXKpi4kXs41tX1GSiKHHVRQcccDojRdGR1LHwgl53Gj1ZzPscWgzZ33RJuy3KHxjsmx5LnH1BXZ2r0NLC4pCyvtRkHcVpzc5UCpsS4yPiXsD95HcLQG83ZxCRtlHYhcRlefwFQSwMEFAACAAgAYYR2Ve6zePJhAwAAygwAABMAHABGb3JtdWxhcy9TZWN0aW9uMS5tIKIYACigFAAAAAAAAAAAAAAAAAAAAAAAAAAAAK1Wy07bQBTdI/EPI3fjSJbVADvEAgW6oAiqgNoFysJxBrAwY+SxKVUUKYGKLqBi00XVglLgBwLFaniE/MLMH/V6/EhwyBMiJfbM3Mc5Z27mDsW6Y1gErQTP9PT42PgY3dRsXEDslP1ml2gGmdgZQ/BhP3mF77NH/o01WJ3dwdJbJVipskd2z4/ZP3hesxpYef6YV9gdjE4mwDSLdcsuqKvWqpY3sbxALaLOWbq7jYkjvzNMrGYs4sCAyvN7OjbVjGvbMPxk2Vt5y9qSU8W1JW0bz0isyg/4Pj+WciW0Fjrl1qLZXDGJs5RKpZRxAfSNxM7BqAww71gd8QpiTRjV2QMAbohvgx+xB8S/wqTPIDB+kICBAK6uYBPEylqfqdyXtoKwpm8iWQDPQQjJxjuW7UgAKMYDnh67iXPfogA9u2dXzOOHrcwfjF3LkUenoKBFgzrqHPwYRH9JpIBPSkGS/wKBpY+a6WKpxeoPq4EqwAw8GmJjBLPvwMoL4vN9FIoRE5zf29FIISiUjGW620QeRCAlllVBRalguxtZTIGkRnQslZ6bGxJnwj2B1xe1hXYY4gA8EfpFwNL9lByFbCdGX1AT72KTBuJG70NiD91eLmZSBEAcxh4J0euoGCJoYYnKMGNqlEaq+k8H7zmtKu2yPEJdvCKNdBsggGnQHVP7MpvP2/78umua4hQo9VwMGbALSHsFOer8kNXSr1WwEcBIvqJEYkike/6JRH7xHqYP5pcwdXBhwTKInICuFKOt69euLsWpeS3g+k0r7lkQYp5smAbdhChJO8VP+t4gBXURrzvLroNt/8BNWgHBrEupoZGA7dN1BKIFh+UtdMM6TD+Kcb2LIJOjCzIBbNpqoZ8op+yMnfUQI1jvJkK42kH+LCyYmuj8XtDQPNaEblwW/bnWhfjU6MQnlbja+pH+BT412IBKD+Itm27k2yzaBADXKmgS6HAB7JvPsY+s2i5EP3iZH7C/Qi94uQFu93Gz9dqaLT/kR8l7UCARTUgypQxeiD6jAbbNNxuGVVUcGh4QakKqMj8BYv6NsD+xLIYzCNsRs6EVUgarw47/cm+JunNHneTPBWVwDePXnmCNbnxtewm3EXkU0ZRiMciuoGVfNHWW6pgUDLIx8P+x07OUGjPIkFSm/wNQSwECLQAUAAIACABhhHZVYTxjcasAAAD6AAAAEgAAAAAAAAAAAAAAAAAAAAAAQ29uZmlnL1BhY2thZ2UueG1sUEsBAi0AFAACAAgAYYR2VQ/K6aukAAAA6QAAABMAAAAAAAAAAAAAAAAA9wAAAFtDb250ZW50X1R5cGVzXS54bWxQSwECLQAUAAIACABhhHZV7rN48mEDAADKDAAAEwAAAAAAAAAAAAAAAADoAQAARm9ybXVsYXMvU2VjdGlvbjEubVBLBQYAAAAAAwADAMIAAACWBQAAAAA=&quot;" command="SELECT * FROM [МЛУ]"/>
  </connection>
</connections>
</file>

<file path=xl/sharedStrings.xml><?xml version="1.0" encoding="utf-8"?>
<sst xmlns="http://schemas.openxmlformats.org/spreadsheetml/2006/main" count="183" uniqueCount="93">
  <si>
    <t>Путь</t>
  </si>
  <si>
    <t>PI</t>
  </si>
  <si>
    <t>atazanavir/r</t>
  </si>
  <si>
    <t>Susceptible</t>
  </si>
  <si>
    <t>darunavir/r</t>
  </si>
  <si>
    <t>fosamprenavir/r</t>
  </si>
  <si>
    <t>indinavir/r</t>
  </si>
  <si>
    <t>lopinavir/r</t>
  </si>
  <si>
    <t>nelfinavir</t>
  </si>
  <si>
    <t>saquinavir/r</t>
  </si>
  <si>
    <t>tipranavir/r</t>
  </si>
  <si>
    <t>NRTI</t>
  </si>
  <si>
    <t>abacavir</t>
  </si>
  <si>
    <t>High-Level Resistance</t>
  </si>
  <si>
    <t>zidovudine</t>
  </si>
  <si>
    <t>stavudine</t>
  </si>
  <si>
    <t>didanosine</t>
  </si>
  <si>
    <t>emtricitabine</t>
  </si>
  <si>
    <t>lamivudine</t>
  </si>
  <si>
    <t>tenofovir</t>
  </si>
  <si>
    <t>Intermediate Resistance</t>
  </si>
  <si>
    <t>NNRTI</t>
  </si>
  <si>
    <t>doravirine</t>
  </si>
  <si>
    <t>Low-Level Resistance</t>
  </si>
  <si>
    <t>efavirenz</t>
  </si>
  <si>
    <t>etravirine</t>
  </si>
  <si>
    <t>nevirapine</t>
  </si>
  <si>
    <t>rilpivirine</t>
  </si>
  <si>
    <t>English</t>
  </si>
  <si>
    <t>Russian</t>
  </si>
  <si>
    <t>Высокий уровень устойчивости</t>
  </si>
  <si>
    <t>Средний уровень устойчивости</t>
  </si>
  <si>
    <t>Низкий уровень устойчивости</t>
  </si>
  <si>
    <t>Чувствителен</t>
  </si>
  <si>
    <t>Ламивудин (3TC)</t>
  </si>
  <si>
    <t>Абакавир (ABC)</t>
  </si>
  <si>
    <t>Атазанавир (ATV/r)</t>
  </si>
  <si>
    <t>Зидовудин (AZT)</t>
  </si>
  <si>
    <t>Ставудин (D4T)</t>
  </si>
  <si>
    <t>Диданозин (DDI)</t>
  </si>
  <si>
    <t>Доравирин (DOR)</t>
  </si>
  <si>
    <t>Дарунавир (DRV/r)</t>
  </si>
  <si>
    <t>Этравирин (ETR)</t>
  </si>
  <si>
    <t>Фосампренавир (FPV/r)</t>
  </si>
  <si>
    <t>Эмтрицитабин (FTC)</t>
  </si>
  <si>
    <t>Индинавир (IDV/r)</t>
  </si>
  <si>
    <t>Лопинавир (LPV/r)</t>
  </si>
  <si>
    <t>Невирапин (NVP)</t>
  </si>
  <si>
    <t>Рилпивирин (RPV)</t>
  </si>
  <si>
    <t>Саквинавир (SQV/r)</t>
  </si>
  <si>
    <t>Тенофовир (TDF)</t>
  </si>
  <si>
    <t>Типранавир (TPV/r)</t>
  </si>
  <si>
    <t>Нуклеозидные ингибиторы обратной транскриптазы (Nucleoside RTI)</t>
  </si>
  <si>
    <t>Ненуклеозидные ингибиторы обратной транскриптазы (Non-Nucleoside RTI)</t>
  </si>
  <si>
    <t>Ингибиторы протеазы (Protease inhibitors)</t>
  </si>
  <si>
    <t>Уровень устойчивости</t>
  </si>
  <si>
    <t>Название препарата</t>
  </si>
  <si>
    <t>Тип препарата</t>
  </si>
  <si>
    <t>Определение резистентности ВИЧ к ингибиторам протеазы и обратной транскриптазы</t>
  </si>
  <si>
    <t>ПН</t>
  </si>
  <si>
    <t>Нелфинавир (NFV/r)</t>
  </si>
  <si>
    <t>Эфавиренц (EFV)</t>
  </si>
  <si>
    <t>Вид материала: плазма</t>
  </si>
  <si>
    <t>Номер истории болезни:</t>
  </si>
  <si>
    <t>Результат</t>
  </si>
  <si>
    <t>Валидный</t>
  </si>
  <si>
    <t>Наименование исследования</t>
  </si>
  <si>
    <t>Тел./факс: +7343-261-99-47</t>
  </si>
  <si>
    <t>Адрес: 620030, г. Екатеринбург, ул. Летняя, д. 23</t>
  </si>
  <si>
    <t>ФИО пациента:</t>
  </si>
  <si>
    <t>Дата рождения:</t>
  </si>
  <si>
    <t>Отделение:</t>
  </si>
  <si>
    <t>Подпись: ………………………………………………………………………</t>
  </si>
  <si>
    <t>Возможно низкий уровень устойчивости</t>
  </si>
  <si>
    <t>Potential Low-Level Resistance</t>
  </si>
  <si>
    <t>Ненуклеозидные
ингибиторы обратной транскриптазы (Non -
Nucleoside RTI)</t>
  </si>
  <si>
    <t>Номер</t>
  </si>
  <si>
    <t>Врач</t>
  </si>
  <si>
    <t>Параметр</t>
  </si>
  <si>
    <t>Значение</t>
  </si>
  <si>
    <t>Дата взятия материала:</t>
  </si>
  <si>
    <t>ID пациента:</t>
  </si>
  <si>
    <t>Пол</t>
  </si>
  <si>
    <t>Направившая организация:</t>
  </si>
  <si>
    <t>ГБУЗ ТО «ЦПБС»</t>
  </si>
  <si>
    <t>Вид материала:</t>
  </si>
  <si>
    <t>плазма</t>
  </si>
  <si>
    <t>Дата заключения</t>
  </si>
  <si>
    <t>Наименование организации: ФБУН ФНИИВИ "Виром"</t>
  </si>
  <si>
    <t>Климова Анна Александровна</t>
  </si>
  <si>
    <t>№165/1131</t>
  </si>
  <si>
    <t>мужской</t>
  </si>
  <si>
    <t>c:\Users\User\Projects\Work\Секвениролвание Тюмень июль 2023\1131\Raw_1131_165.json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</si>
</sst>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.5"/>
      <color theme="1"/>
      <name val="Verdana"/>
      <family val="2"/>
      <charset val="204"/>
    </font>
    <font>
      <sz val="10"/>
      <color theme="1"/>
      <name val="Century Gothic"/>
      <family val="2"/>
      <charset val="204"/>
    </font>
    <font>
      <sz val="10.5"/>
      <color theme="1"/>
      <name val="Century Gothic"/>
      <family val="2"/>
      <charset val="204"/>
    </font>
    <font>
      <sz val="10.5"/>
      <name val="Century Gothic"/>
      <family val="2"/>
      <charset val="204"/>
    </font>
    <font>
      <b/>
      <sz val="11.5"/>
      <color theme="1"/>
      <name val="Century Gothic"/>
      <family val="2"/>
      <charset val="204"/>
    </font>
    <font>
      <sz val="11.5"/>
      <color theme="1"/>
      <name val="Century Gothic"/>
      <family val="2"/>
      <charset val="204"/>
    </font>
    <font>
      <b/>
      <sz val="11.5"/>
      <name val="Century Gothic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2E2E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NumberFormat="1" applyAlignment="1"/>
    <xf numFmtId="0" fontId="0" fillId="0" borderId="0" xfId="0" applyAlignment="1">
      <alignment horizontal="left"/>
    </xf>
    <xf numFmtId="0" fontId="1" fillId="0" borderId="0" xfId="0" applyFont="1"/>
    <xf numFmtId="0" fontId="2" fillId="0" borderId="0" xfId="0" applyFont="1"/>
    <xf numFmtId="0" fontId="3" fillId="0" borderId="1" xfId="0" applyFont="1" applyBorder="1" applyAlignment="1">
      <alignment horizontal="center" vertical="center"/>
    </xf>
    <xf numFmtId="0" fontId="4" fillId="0" borderId="0" xfId="0" applyFont="1"/>
    <xf numFmtId="0" fontId="5" fillId="0" borderId="0" xfId="0" applyFont="1" applyFill="1" applyBorder="1" applyAlignment="1">
      <alignment horizontal="left" vertical="center" wrapText="1" indent="1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7" fillId="0" borderId="0" xfId="0" applyFont="1"/>
    <xf numFmtId="0" fontId="8" fillId="2" borderId="1" xfId="0" applyFont="1" applyFill="1" applyBorder="1" applyAlignment="1">
      <alignment horizontal="center" vertical="center" wrapText="1"/>
    </xf>
    <xf numFmtId="0" fontId="9" fillId="0" borderId="0" xfId="0" applyFont="1"/>
    <xf numFmtId="14" fontId="0" fillId="0" borderId="0" xfId="0" applyNumberFormat="1"/>
    <xf numFmtId="0" fontId="4" fillId="0" borderId="0" xfId="0" applyFont="1" applyAlignment="1">
      <alignment horizontal="left"/>
    </xf>
    <xf numFmtId="0" fontId="7" fillId="0" borderId="0" xfId="0" applyFont="1" applyAlignment="1">
      <alignment horizontal="center" vertical="center"/>
    </xf>
    <xf numFmtId="0" fontId="5" fillId="0" borderId="1" xfId="0" applyFont="1" applyFill="1" applyBorder="1" applyAlignment="1">
      <alignment horizontal="left" vertical="center" wrapText="1" indent="1"/>
    </xf>
    <xf numFmtId="0" fontId="4" fillId="0" borderId="0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17"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color theme="5" tint="-0.24994659260841701"/>
      </font>
    </dxf>
    <dxf>
      <font>
        <color theme="5" tint="-0.24994659260841701"/>
      </font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16"/>
      <tableStyleElement type="headerRow" dxfId="15"/>
      <tableStyleElement type="firstRowStripe" dxfId="14"/>
    </tableStyle>
    <tableStyle name="TableStyleQueryResult" pivot="0" count="3">
      <tableStyleElement type="wholeTable" dxfId="13"/>
      <tableStyleElement type="headerRow" dxfId="12"/>
      <tableStyleElement type="firstRow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304800</xdr:colOff>
      <xdr:row>3</xdr:row>
      <xdr:rowOff>76200</xdr:rowOff>
    </xdr:from>
    <xdr:to>
      <xdr:col>4</xdr:col>
      <xdr:colOff>1283208</xdr:colOff>
      <xdr:row>5</xdr:row>
      <xdr:rowOff>179832</xdr:rowOff>
    </xdr:to>
    <xdr:sp macro="[0]!viborF" textlink="">
      <xdr:nvSpPr>
        <xdr:cNvPr id="2" name="Стрелка вправо с вырезом 1"/>
        <xdr:cNvSpPr/>
      </xdr:nvSpPr>
      <xdr:spPr>
        <a:xfrm>
          <a:off x="7486650" y="647700"/>
          <a:ext cx="978408" cy="484632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34637</xdr:colOff>
      <xdr:row>0</xdr:row>
      <xdr:rowOff>0</xdr:rowOff>
    </xdr:from>
    <xdr:to>
      <xdr:col>6</xdr:col>
      <xdr:colOff>1150112</xdr:colOff>
      <xdr:row>1</xdr:row>
      <xdr:rowOff>169500</xdr:rowOff>
    </xdr:to>
    <xdr:pic>
      <xdr:nvPicPr>
        <xdr:cNvPr id="2" name="Рисунок 1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637" y="0"/>
          <a:ext cx="6840000" cy="36000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</xdr:colOff>
      <xdr:row>39</xdr:row>
      <xdr:rowOff>15482</xdr:rowOff>
    </xdr:from>
    <xdr:to>
      <xdr:col>6</xdr:col>
      <xdr:colOff>1153575</xdr:colOff>
      <xdr:row>39</xdr:row>
      <xdr:rowOff>226290</xdr:rowOff>
    </xdr:to>
    <xdr:pic>
      <xdr:nvPicPr>
        <xdr:cNvPr id="6" name="Рисунок 5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10256762"/>
          <a:ext cx="7020975" cy="21080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5">
    <queryTableFields count="4">
      <queryTableField id="1" name="Название препарата" tableColumnId="1"/>
      <queryTableField id="2" name="Уровень устойчивости" tableColumnId="2"/>
      <queryTableField id="3" name="Тип препарата" tableColumnId="3"/>
      <queryTableField id="4" name="ПН" tableColumnId="4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Путь" displayName="Путь" ref="A1:A2" totalsRowShown="0">
  <autoFilter ref="A1:A2"/>
  <tableColumns count="1">
    <tableColumn id="1" name="Путь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МНН" displayName="МНН" ref="T1:U21" totalsRowShown="0">
  <autoFilter ref="T1:U21"/>
  <tableColumns count="2">
    <tableColumn id="1" name="English" dataDxfId="10"/>
    <tableColumn id="2" name="Russi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Уровень" displayName="Уровень" ref="M1:N6" totalsRowShown="0">
  <autoFilter ref="M1:N6"/>
  <tableColumns count="2">
    <tableColumn id="1" name="English" dataDxfId="9"/>
    <tableColumn id="2" name="Russi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Класс" displayName="Класс" ref="P1:R4" totalsRowShown="0">
  <autoFilter ref="P1:R4"/>
  <tableColumns count="3">
    <tableColumn id="1" name="English"/>
    <tableColumn id="2" name="Russian"/>
    <tableColumn id="3" name="ПН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Данные" displayName="Данные" ref="C1:D10" totalsRowShown="0" headerRowDxfId="8">
  <autoFilter ref="C1:D10"/>
  <tableColumns count="2">
    <tableColumn id="1" name="Параметр"/>
    <tableColumn id="2" name="Значение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" name="МЛУ" displayName="МЛУ" ref="A1:D21" tableType="queryTable" totalsRowShown="0" headerRowDxfId="7" dataDxfId="6">
  <autoFilter ref="A1:D21"/>
  <tableColumns count="4">
    <tableColumn id="1" uniqueName="1" name="Название препарата" queryTableFieldId="1" dataDxfId="3"/>
    <tableColumn id="2" uniqueName="2" name="Уровень устойчивости" queryTableFieldId="2" dataDxfId="2"/>
    <tableColumn id="3" uniqueName="3" name="Тип препарата" queryTableFieldId="3" dataDxfId="1"/>
    <tableColumn id="4" uniqueName="4" name="ПН" queryTableFieldId="4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U21"/>
  <sheetViews>
    <sheetView workbookViewId="0">
      <selection activeCell="E17" sqref="E17"/>
    </sheetView>
  </sheetViews>
  <sheetFormatPr defaultRowHeight="15" x14ac:dyDescent="0.25"/>
  <cols>
    <col min="1" max="1" width="40.7109375" bestFit="1" customWidth="1"/>
    <col min="2" max="2" width="9.28515625" customWidth="1"/>
    <col min="3" max="3" width="27" customWidth="1"/>
    <col min="4" max="4" width="30.7109375" bestFit="1" customWidth="1"/>
    <col min="5" max="11" width="40.7109375" customWidth="1"/>
    <col min="13" max="13" width="23" bestFit="1" customWidth="1"/>
    <col min="14" max="14" width="9.7109375" customWidth="1"/>
    <col min="16" max="16" width="9.42578125" customWidth="1"/>
    <col min="17" max="18" width="9.7109375" customWidth="1"/>
    <col min="20" max="20" width="9.42578125" customWidth="1"/>
    <col min="21" max="21" width="9.7109375" customWidth="1"/>
  </cols>
  <sheetData>
    <row r="1" spans="1:21" x14ac:dyDescent="0.25">
      <c r="A1" t="s">
        <v>0</v>
      </c>
      <c r="C1" s="13" t="s">
        <v>78</v>
      </c>
      <c r="D1" s="13" t="s">
        <v>79</v>
      </c>
      <c r="M1" t="s">
        <v>28</v>
      </c>
      <c r="N1" t="s">
        <v>29</v>
      </c>
      <c r="P1" t="s">
        <v>28</v>
      </c>
      <c r="Q1" t="s">
        <v>29</v>
      </c>
      <c r="R1" t="s">
        <v>59</v>
      </c>
      <c r="T1" t="s">
        <v>28</v>
      </c>
      <c r="U1" t="s">
        <v>29</v>
      </c>
    </row>
    <row r="2" spans="1:21" x14ac:dyDescent="0.25">
      <c r="A2" t="s">
        <v>92</v>
      </c>
      <c r="C2" t="s">
        <v>76</v>
      </c>
      <c r="D2" t="s">
        <v>90</v>
      </c>
      <c r="M2" s="2" t="s">
        <v>13</v>
      </c>
      <c r="N2" t="s">
        <v>30</v>
      </c>
      <c r="P2" t="s">
        <v>21</v>
      </c>
      <c r="Q2" t="s">
        <v>53</v>
      </c>
      <c r="R2">
        <v>3</v>
      </c>
      <c r="T2" s="2" t="s">
        <v>18</v>
      </c>
      <c r="U2" t="s">
        <v>34</v>
      </c>
    </row>
    <row r="3" spans="1:21" x14ac:dyDescent="0.25">
      <c r="C3" t="s">
        <v>80</v>
      </c>
      <c r="D3" s="14">
        <v>44945</v>
      </c>
      <c r="M3" s="2" t="s">
        <v>20</v>
      </c>
      <c r="N3" t="s">
        <v>31</v>
      </c>
      <c r="P3" t="s">
        <v>11</v>
      </c>
      <c r="Q3" t="s">
        <v>52</v>
      </c>
      <c r="R3">
        <v>2</v>
      </c>
      <c r="T3" s="2" t="s">
        <v>12</v>
      </c>
      <c r="U3" t="s">
        <v>35</v>
      </c>
    </row>
    <row r="4" spans="1:21" x14ac:dyDescent="0.25">
      <c r="C4" t="s">
        <v>81</v>
      </c>
      <c r="D4">
        <v>20381</v>
      </c>
      <c r="M4" s="2" t="s">
        <v>23</v>
      </c>
      <c r="N4" t="s">
        <v>32</v>
      </c>
      <c r="P4" t="s">
        <v>1</v>
      </c>
      <c r="Q4" t="s">
        <v>54</v>
      </c>
      <c r="R4">
        <v>1</v>
      </c>
      <c r="T4" s="2" t="s">
        <v>2</v>
      </c>
      <c r="U4" t="s">
        <v>36</v>
      </c>
    </row>
    <row r="5" spans="1:21" x14ac:dyDescent="0.25">
      <c r="C5" t="s">
        <v>70</v>
      </c>
      <c r="D5" s="14">
        <v>30032</v>
      </c>
      <c r="M5" s="2" t="s">
        <v>3</v>
      </c>
      <c r="N5" t="s">
        <v>33</v>
      </c>
      <c r="T5" s="2" t="s">
        <v>14</v>
      </c>
      <c r="U5" t="s">
        <v>37</v>
      </c>
    </row>
    <row r="6" spans="1:21" x14ac:dyDescent="0.25">
      <c r="C6" t="s">
        <v>82</v>
      </c>
      <c r="D6" t="s">
        <v>91</v>
      </c>
      <c r="M6" s="2" t="s">
        <v>74</v>
      </c>
      <c r="N6" t="s">
        <v>73</v>
      </c>
      <c r="T6" s="2" t="s">
        <v>15</v>
      </c>
      <c r="U6" t="s">
        <v>38</v>
      </c>
    </row>
    <row r="7" spans="1:21" x14ac:dyDescent="0.25">
      <c r="C7" t="s">
        <v>87</v>
      </c>
      <c r="D7" s="14">
        <v>45135</v>
      </c>
      <c r="T7" s="2" t="s">
        <v>16</v>
      </c>
      <c r="U7" t="s">
        <v>39</v>
      </c>
    </row>
    <row r="8" spans="1:21" x14ac:dyDescent="0.25">
      <c r="C8" t="s">
        <v>77</v>
      </c>
      <c r="D8" t="s">
        <v>89</v>
      </c>
      <c r="T8" s="2" t="s">
        <v>22</v>
      </c>
      <c r="U8" t="s">
        <v>40</v>
      </c>
    </row>
    <row r="9" spans="1:21" x14ac:dyDescent="0.25">
      <c r="C9" t="s">
        <v>83</v>
      </c>
      <c r="D9" t="s">
        <v>84</v>
      </c>
      <c r="T9" s="2" t="s">
        <v>4</v>
      </c>
      <c r="U9" t="s">
        <v>41</v>
      </c>
    </row>
    <row r="10" spans="1:21" x14ac:dyDescent="0.25">
      <c r="C10" t="s">
        <v>85</v>
      </c>
      <c r="D10" t="s">
        <v>86</v>
      </c>
      <c r="T10" s="2" t="s">
        <v>24</v>
      </c>
      <c r="U10" t="s">
        <v>61</v>
      </c>
    </row>
    <row r="11" spans="1:21" x14ac:dyDescent="0.25">
      <c r="T11" s="2" t="s">
        <v>25</v>
      </c>
      <c r="U11" t="s">
        <v>42</v>
      </c>
    </row>
    <row r="12" spans="1:21" x14ac:dyDescent="0.25">
      <c r="T12" s="2" t="s">
        <v>5</v>
      </c>
      <c r="U12" t="s">
        <v>43</v>
      </c>
    </row>
    <row r="13" spans="1:21" x14ac:dyDescent="0.25">
      <c r="T13" s="2" t="s">
        <v>17</v>
      </c>
      <c r="U13" t="s">
        <v>44</v>
      </c>
    </row>
    <row r="14" spans="1:21" x14ac:dyDescent="0.25">
      <c r="T14" s="2" t="s">
        <v>6</v>
      </c>
      <c r="U14" t="s">
        <v>45</v>
      </c>
    </row>
    <row r="15" spans="1:21" x14ac:dyDescent="0.25">
      <c r="T15" s="2" t="s">
        <v>7</v>
      </c>
      <c r="U15" t="s">
        <v>46</v>
      </c>
    </row>
    <row r="16" spans="1:21" x14ac:dyDescent="0.25">
      <c r="T16" s="2" t="s">
        <v>8</v>
      </c>
      <c r="U16" t="s">
        <v>60</v>
      </c>
    </row>
    <row r="17" spans="20:21" x14ac:dyDescent="0.25">
      <c r="T17" s="2" t="s">
        <v>26</v>
      </c>
      <c r="U17" t="s">
        <v>47</v>
      </c>
    </row>
    <row r="18" spans="20:21" x14ac:dyDescent="0.25">
      <c r="T18" s="2" t="s">
        <v>27</v>
      </c>
      <c r="U18" t="s">
        <v>48</v>
      </c>
    </row>
    <row r="19" spans="20:21" x14ac:dyDescent="0.25">
      <c r="T19" s="2" t="s">
        <v>9</v>
      </c>
      <c r="U19" t="s">
        <v>49</v>
      </c>
    </row>
    <row r="20" spans="20:21" x14ac:dyDescent="0.25">
      <c r="T20" s="2" t="s">
        <v>19</v>
      </c>
      <c r="U20" t="s">
        <v>50</v>
      </c>
    </row>
    <row r="21" spans="20:21" x14ac:dyDescent="0.25">
      <c r="T21" s="2" t="s">
        <v>10</v>
      </c>
      <c r="U21" t="s">
        <v>51</v>
      </c>
    </row>
  </sheetData>
  <pageMargins left="0.7" right="0.7" top="0.75" bottom="0.75" header="0.3" footer="0.3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21"/>
  <sheetViews>
    <sheetView workbookViewId="0"/>
  </sheetViews>
  <sheetFormatPr defaultRowHeight="15" x14ac:dyDescent="0.25"/>
  <cols>
    <col min="1" max="1" width="23" bestFit="1" customWidth="1"/>
    <col min="2" max="2" width="24" bestFit="1" customWidth="1"/>
    <col min="3" max="3" width="73" bestFit="1" customWidth="1"/>
    <col min="4" max="4" width="5.85546875" bestFit="1" customWidth="1"/>
    <col min="5" max="8" width="9.7109375" bestFit="1" customWidth="1"/>
    <col min="9" max="9" width="13.7109375" bestFit="1" customWidth="1"/>
    <col min="10" max="10" width="15.5703125" bestFit="1" customWidth="1"/>
    <col min="11" max="11" width="23" bestFit="1" customWidth="1"/>
  </cols>
  <sheetData>
    <row r="1" spans="1:4" x14ac:dyDescent="0.25">
      <c r="A1" s="1" t="s">
        <v>56</v>
      </c>
      <c r="B1" s="1" t="s">
        <v>55</v>
      </c>
      <c r="C1" s="1" t="s">
        <v>57</v>
      </c>
      <c r="D1" s="1" t="s">
        <v>59</v>
      </c>
    </row>
    <row r="2" spans="1:4" x14ac:dyDescent="0.25">
      <c r="A2" s="1" t="s">
        <v>36</v>
      </c>
      <c r="B2" s="1" t="s">
        <v>33</v>
      </c>
      <c r="C2" s="1" t="s">
        <v>54</v>
      </c>
      <c r="D2" s="1">
        <v>1</v>
      </c>
    </row>
    <row r="3" spans="1:4" x14ac:dyDescent="0.25">
      <c r="A3" s="1" t="s">
        <v>41</v>
      </c>
      <c r="B3" s="1" t="s">
        <v>33</v>
      </c>
      <c r="C3" s="1" t="s">
        <v>54</v>
      </c>
      <c r="D3" s="1">
        <v>1</v>
      </c>
    </row>
    <row r="4" spans="1:4" x14ac:dyDescent="0.25">
      <c r="A4" s="1" t="s">
        <v>45</v>
      </c>
      <c r="B4" s="1" t="s">
        <v>33</v>
      </c>
      <c r="C4" s="1" t="s">
        <v>54</v>
      </c>
      <c r="D4" s="1">
        <v>1</v>
      </c>
    </row>
    <row r="5" spans="1:4" x14ac:dyDescent="0.25">
      <c r="A5" s="1" t="s">
        <v>46</v>
      </c>
      <c r="B5" s="1" t="s">
        <v>33</v>
      </c>
      <c r="C5" s="1" t="s">
        <v>54</v>
      </c>
      <c r="D5" s="1">
        <v>1</v>
      </c>
    </row>
    <row r="6" spans="1:4" x14ac:dyDescent="0.25">
      <c r="A6" s="1" t="s">
        <v>60</v>
      </c>
      <c r="B6" s="1" t="s">
        <v>33</v>
      </c>
      <c r="C6" s="1" t="s">
        <v>54</v>
      </c>
      <c r="D6" s="1">
        <v>1</v>
      </c>
    </row>
    <row r="7" spans="1:4" x14ac:dyDescent="0.25">
      <c r="A7" s="1" t="s">
        <v>49</v>
      </c>
      <c r="B7" s="1" t="s">
        <v>33</v>
      </c>
      <c r="C7" s="1" t="s">
        <v>54</v>
      </c>
      <c r="D7" s="1">
        <v>1</v>
      </c>
    </row>
    <row r="8" spans="1:4" x14ac:dyDescent="0.25">
      <c r="A8" s="1" t="s">
        <v>51</v>
      </c>
      <c r="B8" s="1" t="s">
        <v>33</v>
      </c>
      <c r="C8" s="1" t="s">
        <v>54</v>
      </c>
      <c r="D8" s="1">
        <v>1</v>
      </c>
    </row>
    <row r="9" spans="1:4" x14ac:dyDescent="0.25">
      <c r="A9" s="1" t="s">
        <v>43</v>
      </c>
      <c r="B9" s="1" t="s">
        <v>33</v>
      </c>
      <c r="C9" s="1" t="s">
        <v>54</v>
      </c>
      <c r="D9" s="1">
        <v>1</v>
      </c>
    </row>
    <row r="10" spans="1:4" x14ac:dyDescent="0.25">
      <c r="A10" s="1" t="s">
        <v>35</v>
      </c>
      <c r="B10" s="1" t="s">
        <v>33</v>
      </c>
      <c r="C10" s="1" t="s">
        <v>52</v>
      </c>
      <c r="D10" s="1">
        <v>2</v>
      </c>
    </row>
    <row r="11" spans="1:4" x14ac:dyDescent="0.25">
      <c r="A11" s="1" t="s">
        <v>39</v>
      </c>
      <c r="B11" s="1" t="s">
        <v>33</v>
      </c>
      <c r="C11" s="1" t="s">
        <v>52</v>
      </c>
      <c r="D11" s="1">
        <v>2</v>
      </c>
    </row>
    <row r="12" spans="1:4" x14ac:dyDescent="0.25">
      <c r="A12" s="1" t="s">
        <v>37</v>
      </c>
      <c r="B12" s="1" t="s">
        <v>33</v>
      </c>
      <c r="C12" s="1" t="s">
        <v>52</v>
      </c>
      <c r="D12" s="1">
        <v>2</v>
      </c>
    </row>
    <row r="13" spans="1:4" x14ac:dyDescent="0.25">
      <c r="A13" s="1" t="s">
        <v>34</v>
      </c>
      <c r="B13" s="1" t="s">
        <v>33</v>
      </c>
      <c r="C13" s="1" t="s">
        <v>52</v>
      </c>
      <c r="D13" s="1">
        <v>2</v>
      </c>
    </row>
    <row r="14" spans="1:4" x14ac:dyDescent="0.25">
      <c r="A14" s="1" t="s">
        <v>38</v>
      </c>
      <c r="B14" s="1" t="s">
        <v>33</v>
      </c>
      <c r="C14" s="1" t="s">
        <v>52</v>
      </c>
      <c r="D14" s="1">
        <v>2</v>
      </c>
    </row>
    <row r="15" spans="1:4" x14ac:dyDescent="0.25">
      <c r="A15" s="1" t="s">
        <v>50</v>
      </c>
      <c r="B15" s="1" t="s">
        <v>33</v>
      </c>
      <c r="C15" s="1" t="s">
        <v>52</v>
      </c>
      <c r="D15" s="1">
        <v>2</v>
      </c>
    </row>
    <row r="16" spans="1:4" x14ac:dyDescent="0.25">
      <c r="A16" s="1" t="s">
        <v>44</v>
      </c>
      <c r="B16" s="1" t="s">
        <v>33</v>
      </c>
      <c r="C16" s="1" t="s">
        <v>52</v>
      </c>
      <c r="D16" s="1">
        <v>2</v>
      </c>
    </row>
    <row r="17" spans="1:4" x14ac:dyDescent="0.25">
      <c r="A17" s="1" t="s">
        <v>40</v>
      </c>
      <c r="B17" s="1" t="s">
        <v>33</v>
      </c>
      <c r="C17" s="1" t="s">
        <v>53</v>
      </c>
      <c r="D17" s="1">
        <v>3</v>
      </c>
    </row>
    <row r="18" spans="1:4" x14ac:dyDescent="0.25">
      <c r="A18" s="1" t="s">
        <v>47</v>
      </c>
      <c r="B18" s="1" t="s">
        <v>33</v>
      </c>
      <c r="C18" s="1" t="s">
        <v>53</v>
      </c>
      <c r="D18" s="1">
        <v>3</v>
      </c>
    </row>
    <row r="19" spans="1:4" x14ac:dyDescent="0.25">
      <c r="A19" s="1" t="s">
        <v>48</v>
      </c>
      <c r="B19" s="1" t="s">
        <v>33</v>
      </c>
      <c r="C19" s="1" t="s">
        <v>53</v>
      </c>
      <c r="D19" s="1">
        <v>3</v>
      </c>
    </row>
    <row r="20" spans="1:4" x14ac:dyDescent="0.25">
      <c r="A20" s="1" t="s">
        <v>42</v>
      </c>
      <c r="B20" s="1" t="s">
        <v>33</v>
      </c>
      <c r="C20" s="1" t="s">
        <v>53</v>
      </c>
      <c r="D20" s="1">
        <v>3</v>
      </c>
    </row>
    <row r="21" spans="1:4" x14ac:dyDescent="0.25">
      <c r="A21" s="1" t="s">
        <v>61</v>
      </c>
      <c r="B21" s="1" t="s">
        <v>33</v>
      </c>
      <c r="C21" s="1" t="s">
        <v>53</v>
      </c>
      <c r="D21" s="1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G41"/>
  <sheetViews>
    <sheetView tabSelected="1" view="pageBreakPreview" zoomScaleNormal="70" zoomScaleSheetLayoutView="100" workbookViewId="0">
      <selection activeCell="L33" sqref="L33"/>
    </sheetView>
  </sheetViews>
  <sheetFormatPr defaultRowHeight="15" x14ac:dyDescent="0.25"/>
  <cols>
    <col min="1" max="1" width="29.7109375" customWidth="1"/>
    <col min="2" max="2" width="9" customWidth="1"/>
    <col min="3" max="3" width="14.28515625" customWidth="1"/>
    <col min="4" max="4" width="6.7109375" customWidth="1"/>
    <col min="5" max="5" width="6.5703125" customWidth="1"/>
    <col min="6" max="6" width="19.7109375" customWidth="1"/>
    <col min="7" max="7" width="17.28515625" customWidth="1"/>
  </cols>
  <sheetData>
    <row r="2" spans="1:7" ht="24" customHeight="1" x14ac:dyDescent="0.25"/>
    <row r="3" spans="1:7" ht="18" customHeight="1" x14ac:dyDescent="0.25">
      <c r="A3" s="16" t="s">
        <v>58</v>
      </c>
      <c r="B3" s="16"/>
      <c r="C3" s="16"/>
      <c r="D3" s="16"/>
      <c r="E3" s="16"/>
      <c r="F3" s="16"/>
      <c r="G3" s="16"/>
    </row>
    <row r="4" spans="1:7" ht="19.5" customHeight="1" x14ac:dyDescent="0.25">
      <c r="A4" s="16" t="str">
        <f>VLOOKUP("Номер",Данные[],2,0)</f>
        <v>№165/1131</v>
      </c>
      <c r="B4" s="16"/>
      <c r="C4" s="16"/>
      <c r="D4" s="16"/>
      <c r="E4" s="16"/>
      <c r="F4" s="16"/>
      <c r="G4" s="16"/>
    </row>
    <row r="5" spans="1:7" ht="20.100000000000001" customHeight="1" x14ac:dyDescent="0.3">
      <c r="A5" s="11" t="str">
        <f>"Дата взятия материала: "&amp; TEXT(VLOOKUP("Дата взятия материала:",Данные[],2,0),"ДД.ММ.ГГГГ")</f>
        <v>Дата взятия материала: 19.01.2023</v>
      </c>
      <c r="B5" s="11"/>
      <c r="C5" s="11"/>
      <c r="D5" s="11" t="s">
        <v>62</v>
      </c>
      <c r="E5" s="11"/>
      <c r="F5" s="11"/>
      <c r="G5" s="11"/>
    </row>
    <row r="6" spans="1:7" ht="20.100000000000001" customHeight="1" x14ac:dyDescent="0.3">
      <c r="A6" s="11" t="str">
        <f>"ID пациента: "&amp; VLOOKUP("ID пациента:",Данные[],2,0)</f>
        <v>ID пациента: 20381</v>
      </c>
      <c r="B6" s="11"/>
      <c r="C6" s="11"/>
      <c r="D6" s="11" t="s">
        <v>63</v>
      </c>
      <c r="E6" s="11"/>
      <c r="F6" s="11"/>
      <c r="G6" s="11"/>
    </row>
    <row r="7" spans="1:7" ht="20.100000000000001" customHeight="1" x14ac:dyDescent="0.3">
      <c r="A7" s="11" t="s">
        <v>69</v>
      </c>
      <c r="B7" s="11"/>
      <c r="C7" s="11"/>
      <c r="D7" s="11"/>
      <c r="E7" s="11"/>
      <c r="F7" s="11"/>
      <c r="G7" s="11"/>
    </row>
    <row r="8" spans="1:7" ht="20.100000000000001" customHeight="1" x14ac:dyDescent="0.3">
      <c r="A8" s="11" t="str">
        <f>"Дата рождения: "&amp; TEXT(VLOOKUP("Дата рождения:",Данные[],2,0),"ДД.ММ.ГГГГ")</f>
        <v>Дата рождения: 22.03.1982</v>
      </c>
      <c r="B8" s="11"/>
      <c r="C8" s="11"/>
      <c r="D8" s="11" t="str">
        <f>"Пол: "&amp;VLOOKUP("Пол",Данные[],2,0)</f>
        <v>Пол: мужской</v>
      </c>
      <c r="E8" s="11"/>
      <c r="F8" s="11"/>
      <c r="G8" s="11"/>
    </row>
    <row r="9" spans="1:7" ht="20.100000000000001" customHeight="1" x14ac:dyDescent="0.3">
      <c r="A9" s="11" t="str">
        <f>"Направившая организация: "&amp;VLOOKUP("Направившая организация:",Данные[],2,0)</f>
        <v>Направившая организация: ГБУЗ ТО «ЦПБС»</v>
      </c>
      <c r="B9" s="11"/>
      <c r="C9" s="11"/>
      <c r="D9" s="11"/>
      <c r="E9" s="11"/>
      <c r="F9" s="11"/>
      <c r="G9" s="11"/>
    </row>
    <row r="10" spans="1:7" ht="20.100000000000001" customHeight="1" x14ac:dyDescent="0.3">
      <c r="A10" s="11" t="s">
        <v>71</v>
      </c>
      <c r="B10" s="11"/>
      <c r="C10" s="11"/>
      <c r="D10" s="11"/>
      <c r="E10" s="11"/>
      <c r="F10" s="11"/>
      <c r="G10" s="11"/>
    </row>
    <row r="11" spans="1:7" ht="10.5" customHeight="1" x14ac:dyDescent="0.25">
      <c r="A11" s="4"/>
      <c r="B11" s="4"/>
      <c r="C11" s="4"/>
      <c r="D11" s="4"/>
      <c r="E11" s="4"/>
      <c r="F11" s="4"/>
      <c r="G11" s="4"/>
    </row>
    <row r="12" spans="1:7" ht="23.1" customHeight="1" x14ac:dyDescent="0.25">
      <c r="A12" s="20" t="s">
        <v>66</v>
      </c>
      <c r="B12" s="20"/>
      <c r="C12" s="20"/>
      <c r="D12" s="20"/>
      <c r="E12" s="20"/>
      <c r="F12" s="20"/>
      <c r="G12" s="10" t="s">
        <v>64</v>
      </c>
    </row>
    <row r="13" spans="1:7" ht="23.1" customHeight="1" x14ac:dyDescent="0.25">
      <c r="A13" s="19" t="s">
        <v>58</v>
      </c>
      <c r="B13" s="19"/>
      <c r="C13" s="19"/>
      <c r="D13" s="19"/>
      <c r="E13" s="19"/>
      <c r="F13" s="19"/>
      <c r="G13" s="5" t="s">
        <v>65</v>
      </c>
    </row>
    <row r="14" spans="1:7" ht="6" customHeight="1" x14ac:dyDescent="0.3">
      <c r="A14" s="6"/>
      <c r="B14" s="6"/>
      <c r="C14" s="6"/>
      <c r="D14" s="6"/>
      <c r="E14" s="6"/>
      <c r="F14" s="6"/>
      <c r="G14" s="6"/>
    </row>
    <row r="15" spans="1:7" ht="23.1" customHeight="1" x14ac:dyDescent="0.25">
      <c r="A15" s="12" t="s">
        <v>57</v>
      </c>
      <c r="B15" s="21" t="s">
        <v>56</v>
      </c>
      <c r="C15" s="21"/>
      <c r="D15" s="21"/>
      <c r="E15" s="21" t="s">
        <v>55</v>
      </c>
      <c r="F15" s="21"/>
      <c r="G15" s="21"/>
    </row>
    <row r="16" spans="1:7" ht="23.1" customHeight="1" x14ac:dyDescent="0.25">
      <c r="A16" s="17" t="s">
        <v>54</v>
      </c>
      <c r="B16" s="17" t="s">
        <v>36</v>
      </c>
      <c r="C16" s="17"/>
      <c r="D16" s="17"/>
      <c r="E16" s="17" t="str">
        <f>VLOOKUP(B16,МЛУ[],2,0)</f>
        <v>Чувствителен</v>
      </c>
      <c r="F16" s="17"/>
      <c r="G16" s="17"/>
    </row>
    <row r="17" spans="1:7" ht="23.1" customHeight="1" x14ac:dyDescent="0.25">
      <c r="A17" s="17"/>
      <c r="B17" s="17" t="s">
        <v>41</v>
      </c>
      <c r="C17" s="17"/>
      <c r="D17" s="17"/>
      <c r="E17" s="17" t="str">
        <f>VLOOKUP(B17,МЛУ[],2,0)</f>
        <v>Чувствителен</v>
      </c>
      <c r="F17" s="17"/>
      <c r="G17" s="17"/>
    </row>
    <row r="18" spans="1:7" ht="23.1" customHeight="1" x14ac:dyDescent="0.25">
      <c r="A18" s="17"/>
      <c r="B18" s="17" t="s">
        <v>43</v>
      </c>
      <c r="C18" s="17"/>
      <c r="D18" s="17"/>
      <c r="E18" s="17" t="str">
        <f>VLOOKUP(B18,МЛУ[],2,0)</f>
        <v>Чувствителен</v>
      </c>
      <c r="F18" s="17"/>
      <c r="G18" s="17"/>
    </row>
    <row r="19" spans="1:7" ht="23.1" customHeight="1" x14ac:dyDescent="0.25">
      <c r="A19" s="17"/>
      <c r="B19" s="17" t="s">
        <v>45</v>
      </c>
      <c r="C19" s="17"/>
      <c r="D19" s="17"/>
      <c r="E19" s="17" t="str">
        <f>VLOOKUP(B19,МЛУ[],2,0)</f>
        <v>Чувствителен</v>
      </c>
      <c r="F19" s="17"/>
      <c r="G19" s="17"/>
    </row>
    <row r="20" spans="1:7" ht="23.1" customHeight="1" x14ac:dyDescent="0.25">
      <c r="A20" s="17"/>
      <c r="B20" s="17" t="s">
        <v>46</v>
      </c>
      <c r="C20" s="17"/>
      <c r="D20" s="17"/>
      <c r="E20" s="17" t="str">
        <f>VLOOKUP(B20,МЛУ[],2,0)</f>
        <v>Чувствителен</v>
      </c>
      <c r="F20" s="17"/>
      <c r="G20" s="17"/>
    </row>
    <row r="21" spans="1:7" ht="23.1" customHeight="1" x14ac:dyDescent="0.25">
      <c r="A21" s="17"/>
      <c r="B21" s="17" t="s">
        <v>60</v>
      </c>
      <c r="C21" s="17"/>
      <c r="D21" s="17"/>
      <c r="E21" s="17" t="str">
        <f>VLOOKUP(B21,МЛУ[],2,0)</f>
        <v>Чувствителен</v>
      </c>
      <c r="F21" s="17"/>
      <c r="G21" s="17"/>
    </row>
    <row r="22" spans="1:7" ht="23.1" customHeight="1" x14ac:dyDescent="0.25">
      <c r="A22" s="17"/>
      <c r="B22" s="17" t="s">
        <v>49</v>
      </c>
      <c r="C22" s="17"/>
      <c r="D22" s="17"/>
      <c r="E22" s="17" t="str">
        <f>VLOOKUP(B22,МЛУ[],2,0)</f>
        <v>Чувствителен</v>
      </c>
      <c r="F22" s="17"/>
      <c r="G22" s="17"/>
    </row>
    <row r="23" spans="1:7" ht="23.1" customHeight="1" x14ac:dyDescent="0.25">
      <c r="A23" s="17"/>
      <c r="B23" s="17" t="s">
        <v>51</v>
      </c>
      <c r="C23" s="17"/>
      <c r="D23" s="17"/>
      <c r="E23" s="17" t="str">
        <f>VLOOKUP(B23,МЛУ[],2,0)</f>
        <v>Чувствителен</v>
      </c>
      <c r="F23" s="17"/>
      <c r="G23" s="17"/>
    </row>
    <row r="24" spans="1:7" ht="23.1" customHeight="1" x14ac:dyDescent="0.25">
      <c r="A24" s="17" t="s">
        <v>52</v>
      </c>
      <c r="B24" s="17" t="s">
        <v>50</v>
      </c>
      <c r="C24" s="17"/>
      <c r="D24" s="17"/>
      <c r="E24" s="17" t="str">
        <f>VLOOKUP(B24,МЛУ[],2,0)</f>
        <v>Чувствителен</v>
      </c>
      <c r="F24" s="17"/>
      <c r="G24" s="17"/>
    </row>
    <row r="25" spans="1:7" ht="23.1" customHeight="1" x14ac:dyDescent="0.25">
      <c r="A25" s="17"/>
      <c r="B25" s="17" t="s">
        <v>44</v>
      </c>
      <c r="C25" s="17"/>
      <c r="D25" s="17"/>
      <c r="E25" s="17" t="str">
        <f>VLOOKUP(B25,МЛУ[],2,0)</f>
        <v>Чувствителен</v>
      </c>
      <c r="F25" s="17"/>
      <c r="G25" s="17"/>
    </row>
    <row r="26" spans="1:7" ht="23.1" customHeight="1" x14ac:dyDescent="0.25">
      <c r="A26" s="17"/>
      <c r="B26" s="17" t="s">
        <v>37</v>
      </c>
      <c r="C26" s="17"/>
      <c r="D26" s="17"/>
      <c r="E26" s="17" t="str">
        <f>VLOOKUP(B26,МЛУ[],2,0)</f>
        <v>Чувствителен</v>
      </c>
      <c r="F26" s="17"/>
      <c r="G26" s="17"/>
    </row>
    <row r="27" spans="1:7" ht="23.1" customHeight="1" x14ac:dyDescent="0.25">
      <c r="A27" s="17"/>
      <c r="B27" s="17" t="s">
        <v>38</v>
      </c>
      <c r="C27" s="17"/>
      <c r="D27" s="17"/>
      <c r="E27" s="17" t="str">
        <f>VLOOKUP(B27,МЛУ[],2,0)</f>
        <v>Чувствителен</v>
      </c>
      <c r="F27" s="17"/>
      <c r="G27" s="17"/>
    </row>
    <row r="28" spans="1:7" ht="23.1" customHeight="1" x14ac:dyDescent="0.25">
      <c r="A28" s="17"/>
      <c r="B28" s="17" t="s">
        <v>39</v>
      </c>
      <c r="C28" s="17"/>
      <c r="D28" s="17"/>
      <c r="E28" s="17" t="str">
        <f>VLOOKUP(B28,МЛУ[],2,0)</f>
        <v>Чувствителен</v>
      </c>
      <c r="F28" s="17"/>
      <c r="G28" s="17"/>
    </row>
    <row r="29" spans="1:7" ht="23.1" customHeight="1" x14ac:dyDescent="0.25">
      <c r="A29" s="17"/>
      <c r="B29" s="17" t="s">
        <v>34</v>
      </c>
      <c r="C29" s="17"/>
      <c r="D29" s="17"/>
      <c r="E29" s="17" t="str">
        <f>VLOOKUP(B29,МЛУ[],2,0)</f>
        <v>Чувствителен</v>
      </c>
      <c r="F29" s="17"/>
      <c r="G29" s="17"/>
    </row>
    <row r="30" spans="1:7" ht="23.1" customHeight="1" x14ac:dyDescent="0.25">
      <c r="A30" s="17"/>
      <c r="B30" s="17" t="s">
        <v>35</v>
      </c>
      <c r="C30" s="17"/>
      <c r="D30" s="17"/>
      <c r="E30" s="17" t="str">
        <f>VLOOKUP(B30,МЛУ[],2,0)</f>
        <v>Чувствителен</v>
      </c>
      <c r="F30" s="17"/>
      <c r="G30" s="17"/>
    </row>
    <row r="31" spans="1:7" ht="23.1" customHeight="1" x14ac:dyDescent="0.25">
      <c r="A31" s="17" t="s">
        <v>75</v>
      </c>
      <c r="B31" s="17" t="s">
        <v>48</v>
      </c>
      <c r="C31" s="17"/>
      <c r="D31" s="17"/>
      <c r="E31" s="17" t="str">
        <f>VLOOKUP(B31,МЛУ[],2,0)</f>
        <v>Чувствителен</v>
      </c>
      <c r="F31" s="17"/>
      <c r="G31" s="17"/>
    </row>
    <row r="32" spans="1:7" ht="23.1" customHeight="1" x14ac:dyDescent="0.25">
      <c r="A32" s="17"/>
      <c r="B32" s="17" t="s">
        <v>61</v>
      </c>
      <c r="C32" s="17"/>
      <c r="D32" s="17"/>
      <c r="E32" s="17" t="str">
        <f>VLOOKUP(B32,МЛУ[],2,0)</f>
        <v>Чувствителен</v>
      </c>
      <c r="F32" s="17"/>
      <c r="G32" s="17"/>
    </row>
    <row r="33" spans="1:7" ht="23.1" customHeight="1" x14ac:dyDescent="0.25">
      <c r="A33" s="17"/>
      <c r="B33" s="17" t="s">
        <v>42</v>
      </c>
      <c r="C33" s="17"/>
      <c r="D33" s="17"/>
      <c r="E33" s="17" t="str">
        <f>VLOOKUP(B33,МЛУ[],2,0)</f>
        <v>Чувствителен</v>
      </c>
      <c r="F33" s="17"/>
      <c r="G33" s="17"/>
    </row>
    <row r="34" spans="1:7" ht="23.1" customHeight="1" x14ac:dyDescent="0.25">
      <c r="A34" s="17"/>
      <c r="B34" s="17" t="s">
        <v>47</v>
      </c>
      <c r="C34" s="17"/>
      <c r="D34" s="17"/>
      <c r="E34" s="17" t="str">
        <f>VLOOKUP(B34,МЛУ[],2,0)</f>
        <v>Чувствителен</v>
      </c>
      <c r="F34" s="17"/>
      <c r="G34" s="17"/>
    </row>
    <row r="35" spans="1:7" ht="5.25" customHeight="1" x14ac:dyDescent="0.25">
      <c r="A35" s="7"/>
      <c r="B35" s="8"/>
      <c r="C35" s="8"/>
      <c r="D35" s="8"/>
      <c r="E35" s="8"/>
      <c r="F35" s="9"/>
      <c r="G35" s="9"/>
    </row>
    <row r="36" spans="1:7" ht="23.25" customHeight="1" x14ac:dyDescent="0.3">
      <c r="A36" s="6" t="s">
        <v>88</v>
      </c>
      <c r="B36" s="6"/>
      <c r="C36" s="6"/>
      <c r="D36" s="6"/>
      <c r="E36" s="6"/>
      <c r="F36" s="18" t="s">
        <v>67</v>
      </c>
      <c r="G36" s="18"/>
    </row>
    <row r="37" spans="1:7" ht="18.75" customHeight="1" x14ac:dyDescent="0.3">
      <c r="A37" s="6" t="s">
        <v>68</v>
      </c>
      <c r="B37" s="6"/>
      <c r="C37" s="6"/>
      <c r="D37" s="6"/>
      <c r="E37" s="6"/>
      <c r="F37" s="6"/>
      <c r="G37" s="6"/>
    </row>
    <row r="38" spans="1:7" ht="24" customHeight="1" x14ac:dyDescent="0.3">
      <c r="A38" s="6" t="str">
        <f>"ФИО врача: "&amp;VLOOKUP("Врач",Данные[],2,0)</f>
        <v>ФИО врача: Климова Анна Александровна</v>
      </c>
      <c r="B38" s="6"/>
      <c r="C38" s="6"/>
      <c r="D38" s="6"/>
      <c r="E38" s="6"/>
      <c r="F38" s="6"/>
      <c r="G38" s="6"/>
    </row>
    <row r="39" spans="1:7" ht="24" customHeight="1" x14ac:dyDescent="0.3">
      <c r="A39" s="6" t="str">
        <f>"Дата: "&amp; TEXT(VLOOKUP("Дата заключения",Данные[],2,0),"ДД.ММ.ГГГГ")</f>
        <v>Дата: 28.07.2023</v>
      </c>
      <c r="B39" s="6"/>
      <c r="C39" s="6"/>
      <c r="D39" s="15" t="s">
        <v>72</v>
      </c>
      <c r="E39" s="15"/>
      <c r="F39" s="15"/>
      <c r="G39" s="15"/>
    </row>
    <row r="40" spans="1:7" ht="21.75" customHeight="1" x14ac:dyDescent="0.25">
      <c r="A40" s="3"/>
      <c r="B40" s="3"/>
      <c r="C40" s="3"/>
      <c r="D40" s="3"/>
      <c r="E40" s="3"/>
      <c r="F40" s="3"/>
      <c r="G40" s="3"/>
    </row>
    <row r="41" spans="1:7" x14ac:dyDescent="0.25">
      <c r="A41" s="3"/>
      <c r="B41" s="3"/>
      <c r="C41" s="3"/>
      <c r="D41" s="3"/>
      <c r="E41" s="3"/>
      <c r="F41" s="3"/>
      <c r="G41" s="3"/>
    </row>
  </sheetData>
  <mergeCells count="49">
    <mergeCell ref="B15:D15"/>
    <mergeCell ref="B16:D16"/>
    <mergeCell ref="B17:D17"/>
    <mergeCell ref="B18:D18"/>
    <mergeCell ref="B19:D19"/>
    <mergeCell ref="B31:D31"/>
    <mergeCell ref="B32:D32"/>
    <mergeCell ref="A16:A23"/>
    <mergeCell ref="A24:A30"/>
    <mergeCell ref="A31:A34"/>
    <mergeCell ref="B20:D20"/>
    <mergeCell ref="B21:D21"/>
    <mergeCell ref="B22:D22"/>
    <mergeCell ref="B23:D23"/>
    <mergeCell ref="B24:D24"/>
    <mergeCell ref="B25:D25"/>
    <mergeCell ref="B26:D26"/>
    <mergeCell ref="B27:D27"/>
    <mergeCell ref="E27:G27"/>
    <mergeCell ref="E28:G28"/>
    <mergeCell ref="B28:D28"/>
    <mergeCell ref="B29:D29"/>
    <mergeCell ref="B30:D30"/>
    <mergeCell ref="E22:G22"/>
    <mergeCell ref="E23:G23"/>
    <mergeCell ref="E24:G24"/>
    <mergeCell ref="E25:G25"/>
    <mergeCell ref="E26:G26"/>
    <mergeCell ref="E17:G17"/>
    <mergeCell ref="E18:G18"/>
    <mergeCell ref="E19:G19"/>
    <mergeCell ref="E20:G20"/>
    <mergeCell ref="E21:G21"/>
    <mergeCell ref="D39:G39"/>
    <mergeCell ref="A3:G3"/>
    <mergeCell ref="A4:G4"/>
    <mergeCell ref="E34:G34"/>
    <mergeCell ref="F36:G36"/>
    <mergeCell ref="A13:F13"/>
    <mergeCell ref="A12:F12"/>
    <mergeCell ref="E29:G29"/>
    <mergeCell ref="E30:G30"/>
    <mergeCell ref="E31:G31"/>
    <mergeCell ref="E32:G32"/>
    <mergeCell ref="E33:G33"/>
    <mergeCell ref="B33:D33"/>
    <mergeCell ref="B34:D34"/>
    <mergeCell ref="E15:G15"/>
    <mergeCell ref="E16:G16"/>
  </mergeCells>
  <conditionalFormatting sqref="E16:F16">
    <cfRule type="cellIs" dxfId="5" priority="2" operator="equal">
      <formula>"""Высокий уровень устойчивости"""</formula>
    </cfRule>
  </conditionalFormatting>
  <conditionalFormatting sqref="E17:F35">
    <cfRule type="cellIs" dxfId="4" priority="1" operator="equal">
      <formula>"""Высокий уровень устойчивости"""</formula>
    </cfRule>
  </conditionalFormatting>
  <printOptions horizontalCentered="1"/>
  <pageMargins left="0.39370078740157483" right="0.39370078740157483" top="0.39370078740157483" bottom="0.39370078740157483" header="0" footer="0"/>
  <pageSetup paperSize="9" scale="92" fitToWidth="0" fitToHeight="0" orientation="portrait" r:id="rId1"/>
  <colBreaks count="1" manualBreakCount="1">
    <brk id="8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10E589D-1831-4D64-ACED-0B2E328D67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S</vt:lpstr>
      <vt:lpstr>Лист2</vt:lpstr>
      <vt:lpstr>Отчет</vt:lpstr>
      <vt:lpstr>Отчет!Область_печати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Питерский Михаил Валерьевич</dc:creator>
  <cp:lastModifiedBy>User</cp:lastModifiedBy>
  <cp:lastPrinted>2023-07-31T08:06:06Z</cp:lastPrinted>
  <dcterms:created xsi:type="dcterms:W3CDTF">2022-11-21T11:31:48Z</dcterms:created>
  <dcterms:modified xsi:type="dcterms:W3CDTF">2023-07-31T08:06:08Z</dcterms:modified>
</cp:coreProperties>
</file>