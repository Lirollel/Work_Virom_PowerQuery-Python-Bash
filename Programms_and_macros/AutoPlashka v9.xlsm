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q\Projects\Work_git\Макросы и программы\"/>
    </mc:Choice>
  </mc:AlternateContent>
  <xr:revisionPtr revIDLastSave="0" documentId="13_ncr:1_{BB63A03F-AF83-4CEA-A649-9AD330DC07C8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ID" sheetId="6" r:id="rId1"/>
    <sheet name="Data" sheetId="1" r:id="rId2"/>
    <sheet name="Plashka" sheetId="2" r:id="rId3"/>
    <sheet name="CFX" sheetId="4" r:id="rId4"/>
    <sheet name="ABI" sheetId="5" r:id="rId5"/>
    <sheet name="FRT" sheetId="7" r:id="rId6"/>
  </sheets>
  <definedNames>
    <definedName name="_xlnm.Print_Area" localSheetId="2">Plashka!$A$1:$M$9</definedName>
  </definedNames>
  <calcPr calcId="181029"/>
</workbook>
</file>

<file path=xl/calcChain.xml><?xml version="1.0" encoding="utf-8"?>
<calcChain xmlns="http://schemas.openxmlformats.org/spreadsheetml/2006/main">
  <c r="I97" i="1" l="1"/>
  <c r="H97" i="1"/>
  <c r="G97" i="1"/>
  <c r="D97" i="1"/>
  <c r="I96" i="1"/>
  <c r="H96" i="1"/>
  <c r="G96" i="1"/>
  <c r="D96" i="1"/>
  <c r="I95" i="1"/>
  <c r="H95" i="1"/>
  <c r="G95" i="1"/>
  <c r="D95" i="1"/>
  <c r="I94" i="1"/>
  <c r="H94" i="1"/>
  <c r="G94" i="1"/>
  <c r="D94" i="1"/>
  <c r="I93" i="1"/>
  <c r="H93" i="1"/>
  <c r="G93" i="1"/>
  <c r="D93" i="1"/>
  <c r="I92" i="1"/>
  <c r="H92" i="1"/>
  <c r="G92" i="1"/>
  <c r="D92" i="1"/>
  <c r="I91" i="1"/>
  <c r="H91" i="1"/>
  <c r="G91" i="1"/>
  <c r="D91" i="1"/>
  <c r="I90" i="1"/>
  <c r="H90" i="1"/>
  <c r="G90" i="1"/>
  <c r="D90" i="1"/>
  <c r="I89" i="1"/>
  <c r="H89" i="1"/>
  <c r="G89" i="1"/>
  <c r="D89" i="1"/>
  <c r="I88" i="1"/>
  <c r="H88" i="1"/>
  <c r="G88" i="1"/>
  <c r="D88" i="1"/>
  <c r="I87" i="1"/>
  <c r="H87" i="1"/>
  <c r="G87" i="1"/>
  <c r="D87" i="1"/>
  <c r="I86" i="1"/>
  <c r="H86" i="1"/>
  <c r="G86" i="1"/>
  <c r="D86" i="1"/>
  <c r="I85" i="1"/>
  <c r="H85" i="1"/>
  <c r="G85" i="1"/>
  <c r="D85" i="1"/>
  <c r="I84" i="1"/>
  <c r="H84" i="1"/>
  <c r="G84" i="1"/>
  <c r="D84" i="1"/>
  <c r="I83" i="1"/>
  <c r="H83" i="1"/>
  <c r="G83" i="1"/>
  <c r="D83" i="1"/>
  <c r="I82" i="1"/>
  <c r="H82" i="1"/>
  <c r="G82" i="1"/>
  <c r="D82" i="1"/>
  <c r="I81" i="1"/>
  <c r="H81" i="1"/>
  <c r="G81" i="1"/>
  <c r="D81" i="1"/>
  <c r="I80" i="1"/>
  <c r="H80" i="1"/>
  <c r="G80" i="1"/>
  <c r="D80" i="1"/>
  <c r="I79" i="1"/>
  <c r="H79" i="1"/>
  <c r="G79" i="1"/>
  <c r="D79" i="1"/>
  <c r="I78" i="1"/>
  <c r="H78" i="1"/>
  <c r="G78" i="1"/>
  <c r="D78" i="1"/>
  <c r="I77" i="1"/>
  <c r="H77" i="1"/>
  <c r="G77" i="1"/>
  <c r="D77" i="1"/>
  <c r="I76" i="1"/>
  <c r="H76" i="1"/>
  <c r="G76" i="1"/>
  <c r="D76" i="1"/>
  <c r="I75" i="1"/>
  <c r="H75" i="1"/>
  <c r="G75" i="1"/>
  <c r="D75" i="1"/>
  <c r="I74" i="1"/>
  <c r="H74" i="1"/>
  <c r="G74" i="1"/>
  <c r="D74" i="1"/>
  <c r="I73" i="1"/>
  <c r="H73" i="1"/>
  <c r="G73" i="1"/>
  <c r="D73" i="1"/>
  <c r="I72" i="1"/>
  <c r="H72" i="1"/>
  <c r="G72" i="1"/>
  <c r="D72" i="1"/>
  <c r="I71" i="1"/>
  <c r="H71" i="1"/>
  <c r="G71" i="1"/>
  <c r="D71" i="1"/>
  <c r="I70" i="1"/>
  <c r="H70" i="1"/>
  <c r="G70" i="1"/>
  <c r="D70" i="1"/>
  <c r="I69" i="1"/>
  <c r="H69" i="1"/>
  <c r="G69" i="1"/>
  <c r="D69" i="1"/>
  <c r="I68" i="1"/>
  <c r="H68" i="1"/>
  <c r="G68" i="1"/>
  <c r="D68" i="1"/>
  <c r="I67" i="1"/>
  <c r="H67" i="1"/>
  <c r="G67" i="1"/>
  <c r="D67" i="1"/>
  <c r="I66" i="1"/>
  <c r="H66" i="1"/>
  <c r="G66" i="1"/>
  <c r="D66" i="1"/>
  <c r="I65" i="1"/>
  <c r="H65" i="1"/>
  <c r="G65" i="1"/>
  <c r="D65" i="1"/>
  <c r="I64" i="1"/>
  <c r="H64" i="1"/>
  <c r="G64" i="1"/>
  <c r="D64" i="1"/>
  <c r="I63" i="1"/>
  <c r="H63" i="1"/>
  <c r="G63" i="1"/>
  <c r="D63" i="1"/>
  <c r="I62" i="1"/>
  <c r="H62" i="1"/>
  <c r="G62" i="1"/>
  <c r="D62" i="1"/>
  <c r="I61" i="1"/>
  <c r="H61" i="1"/>
  <c r="G61" i="1"/>
  <c r="D61" i="1"/>
  <c r="I60" i="1"/>
  <c r="H60" i="1"/>
  <c r="G60" i="1"/>
  <c r="D60" i="1"/>
  <c r="I59" i="1"/>
  <c r="H59" i="1"/>
  <c r="G59" i="1"/>
  <c r="D59" i="1"/>
  <c r="I58" i="1"/>
  <c r="H58" i="1"/>
  <c r="G58" i="1"/>
  <c r="D58" i="1"/>
  <c r="I57" i="1"/>
  <c r="H57" i="1"/>
  <c r="G57" i="1"/>
  <c r="D57" i="1"/>
  <c r="I56" i="1"/>
  <c r="H56" i="1"/>
  <c r="G56" i="1"/>
  <c r="D56" i="1"/>
  <c r="I55" i="1"/>
  <c r="H55" i="1"/>
  <c r="G55" i="1"/>
  <c r="D55" i="1"/>
  <c r="I54" i="1"/>
  <c r="H54" i="1"/>
  <c r="G54" i="1"/>
  <c r="D54" i="1"/>
  <c r="I53" i="1"/>
  <c r="H53" i="1"/>
  <c r="G53" i="1"/>
  <c r="D53" i="1"/>
  <c r="I52" i="1"/>
  <c r="H52" i="1"/>
  <c r="G52" i="1"/>
  <c r="D52" i="1"/>
  <c r="I51" i="1"/>
  <c r="H51" i="1"/>
  <c r="G51" i="1"/>
  <c r="D51" i="1"/>
  <c r="I50" i="1"/>
  <c r="H50" i="1"/>
  <c r="G50" i="1"/>
  <c r="D50" i="1"/>
  <c r="I49" i="1"/>
  <c r="H49" i="1"/>
  <c r="G49" i="1"/>
  <c r="D49" i="1"/>
  <c r="I48" i="1"/>
  <c r="H48" i="1"/>
  <c r="G48" i="1"/>
  <c r="D48" i="1"/>
  <c r="I47" i="1"/>
  <c r="H47" i="1"/>
  <c r="G47" i="1"/>
  <c r="D47" i="1"/>
  <c r="I46" i="1"/>
  <c r="H46" i="1"/>
  <c r="G46" i="1"/>
  <c r="D46" i="1"/>
  <c r="I45" i="1"/>
  <c r="H45" i="1"/>
  <c r="G45" i="1"/>
  <c r="D45" i="1"/>
  <c r="I44" i="1"/>
  <c r="H44" i="1"/>
  <c r="G44" i="1"/>
  <c r="D44" i="1"/>
  <c r="I43" i="1"/>
  <c r="H43" i="1"/>
  <c r="G43" i="1"/>
  <c r="D43" i="1"/>
  <c r="I42" i="1"/>
  <c r="H42" i="1"/>
  <c r="G42" i="1"/>
  <c r="D42" i="1"/>
  <c r="I41" i="1"/>
  <c r="H41" i="1"/>
  <c r="G41" i="1"/>
  <c r="D41" i="1"/>
  <c r="I40" i="1"/>
  <c r="H40" i="1"/>
  <c r="G40" i="1"/>
  <c r="D40" i="1"/>
  <c r="I39" i="1"/>
  <c r="H39" i="1"/>
  <c r="G39" i="1"/>
  <c r="D39" i="1"/>
  <c r="I38" i="1"/>
  <c r="H38" i="1"/>
  <c r="G38" i="1"/>
  <c r="D38" i="1"/>
  <c r="I37" i="1"/>
  <c r="H37" i="1"/>
  <c r="G37" i="1"/>
  <c r="D37" i="1"/>
  <c r="I36" i="1"/>
  <c r="H36" i="1"/>
  <c r="G36" i="1"/>
  <c r="D36" i="1"/>
  <c r="I35" i="1"/>
  <c r="H35" i="1"/>
  <c r="G35" i="1"/>
  <c r="D35" i="1"/>
  <c r="I34" i="1"/>
  <c r="H34" i="1"/>
  <c r="G34" i="1"/>
  <c r="D34" i="1"/>
  <c r="I33" i="1"/>
  <c r="H33" i="1"/>
  <c r="G33" i="1"/>
  <c r="D33" i="1"/>
  <c r="I32" i="1"/>
  <c r="H32" i="1"/>
  <c r="G32" i="1"/>
  <c r="D32" i="1"/>
  <c r="I31" i="1"/>
  <c r="H31" i="1"/>
  <c r="G31" i="1"/>
  <c r="D31" i="1"/>
  <c r="I30" i="1"/>
  <c r="H30" i="1"/>
  <c r="G30" i="1"/>
  <c r="D30" i="1"/>
  <c r="I29" i="1"/>
  <c r="H29" i="1"/>
  <c r="G29" i="1"/>
  <c r="D29" i="1"/>
  <c r="I28" i="1"/>
  <c r="H28" i="1"/>
  <c r="G28" i="1"/>
  <c r="D28" i="1"/>
  <c r="I27" i="1"/>
  <c r="H27" i="1"/>
  <c r="G27" i="1"/>
  <c r="D27" i="1"/>
  <c r="I26" i="1"/>
  <c r="H26" i="1"/>
  <c r="G26" i="1"/>
  <c r="D26" i="1"/>
  <c r="I25" i="1"/>
  <c r="H25" i="1"/>
  <c r="G25" i="1"/>
  <c r="D25" i="1"/>
  <c r="I24" i="1"/>
  <c r="H24" i="1"/>
  <c r="G24" i="1"/>
  <c r="D24" i="1"/>
  <c r="I23" i="1"/>
  <c r="H23" i="1"/>
  <c r="G23" i="1"/>
  <c r="D23" i="1"/>
  <c r="I22" i="1"/>
  <c r="H22" i="1"/>
  <c r="G22" i="1"/>
  <c r="D22" i="1"/>
  <c r="I21" i="1"/>
  <c r="H21" i="1"/>
  <c r="G21" i="1"/>
  <c r="D21" i="1"/>
  <c r="I20" i="1"/>
  <c r="H20" i="1"/>
  <c r="G20" i="1"/>
  <c r="D20" i="1"/>
  <c r="I19" i="1"/>
  <c r="H19" i="1"/>
  <c r="G19" i="1"/>
  <c r="D19" i="1"/>
  <c r="I18" i="1"/>
  <c r="H18" i="1"/>
  <c r="G18" i="1"/>
  <c r="D18" i="1"/>
  <c r="I17" i="1"/>
  <c r="H17" i="1"/>
  <c r="G17" i="1"/>
  <c r="D17" i="1"/>
  <c r="I16" i="1"/>
  <c r="H16" i="1"/>
  <c r="G16" i="1"/>
  <c r="D16" i="1"/>
  <c r="I15" i="1"/>
  <c r="H15" i="1"/>
  <c r="G15" i="1"/>
  <c r="D15" i="1"/>
  <c r="I14" i="1"/>
  <c r="H14" i="1"/>
  <c r="G14" i="1"/>
  <c r="D14" i="1"/>
  <c r="I13" i="1"/>
  <c r="H13" i="1"/>
  <c r="G13" i="1"/>
  <c r="D13" i="1"/>
  <c r="I12" i="1"/>
  <c r="H12" i="1"/>
  <c r="G12" i="1"/>
  <c r="D12" i="1"/>
  <c r="I11" i="1"/>
  <c r="H11" i="1"/>
  <c r="G11" i="1"/>
  <c r="D11" i="1"/>
  <c r="I10" i="1"/>
  <c r="H10" i="1"/>
  <c r="G10" i="1"/>
  <c r="D10" i="1"/>
  <c r="I9" i="1"/>
  <c r="H9" i="1"/>
  <c r="G9" i="1"/>
  <c r="D9" i="1"/>
  <c r="I8" i="1"/>
  <c r="H8" i="1"/>
  <c r="G8" i="1"/>
  <c r="D8" i="1"/>
  <c r="I7" i="1"/>
  <c r="H7" i="1"/>
  <c r="G7" i="1"/>
  <c r="D7" i="1"/>
  <c r="I6" i="1"/>
  <c r="H6" i="1"/>
  <c r="G6" i="1"/>
  <c r="D6" i="1"/>
  <c r="I5" i="1"/>
  <c r="H5" i="1"/>
  <c r="G5" i="1"/>
  <c r="D5" i="1"/>
  <c r="I4" i="1"/>
  <c r="H4" i="1"/>
  <c r="G4" i="1"/>
  <c r="D4" i="1"/>
  <c r="I3" i="1"/>
  <c r="H3" i="1"/>
  <c r="G3" i="1"/>
  <c r="D3" i="1"/>
  <c r="I2" i="1"/>
  <c r="H2" i="1"/>
  <c r="G2" i="1"/>
  <c r="I142" i="1" l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B3" i="6"/>
  <c r="D3" i="6" s="1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D2" i="6"/>
  <c r="C2" i="6"/>
  <c r="E2" i="6" s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C3" i="6" l="1"/>
  <c r="E3" i="6" s="1"/>
  <c r="B4" i="6"/>
  <c r="J3" i="7"/>
  <c r="J4" i="7" s="1"/>
  <c r="J5" i="7" s="1"/>
  <c r="J6" i="7" s="1"/>
  <c r="J7" i="7" s="1"/>
  <c r="J8" i="7" s="1"/>
  <c r="J9" i="7" s="1"/>
  <c r="J10" i="7" s="1"/>
  <c r="J11" i="7" s="1"/>
  <c r="J12" i="7" s="1"/>
  <c r="J13" i="7" s="1"/>
  <c r="J14" i="7" s="1"/>
  <c r="J15" i="7" s="1"/>
  <c r="J16" i="7" s="1"/>
  <c r="J17" i="7" s="1"/>
  <c r="J18" i="7" s="1"/>
  <c r="J19" i="7" s="1"/>
  <c r="J20" i="7" s="1"/>
  <c r="J21" i="7" s="1"/>
  <c r="J22" i="7" s="1"/>
  <c r="J23" i="7" s="1"/>
  <c r="J24" i="7" s="1"/>
  <c r="J25" i="7" s="1"/>
  <c r="J26" i="7" s="1"/>
  <c r="J27" i="7" s="1"/>
  <c r="J28" i="7" s="1"/>
  <c r="J29" i="7" s="1"/>
  <c r="J30" i="7" s="1"/>
  <c r="J31" i="7" s="1"/>
  <c r="J32" i="7" s="1"/>
  <c r="J33" i="7" s="1"/>
  <c r="J34" i="7" s="1"/>
  <c r="J35" i="7" s="1"/>
  <c r="J36" i="7" s="1"/>
  <c r="J37" i="7" s="1"/>
  <c r="J38" i="7" s="1"/>
  <c r="J39" i="7" s="1"/>
  <c r="J40" i="7" s="1"/>
  <c r="J41" i="7" s="1"/>
  <c r="J42" i="7" s="1"/>
  <c r="J43" i="7" s="1"/>
  <c r="J44" i="7" s="1"/>
  <c r="J45" i="7" s="1"/>
  <c r="J46" i="7" s="1"/>
  <c r="J47" i="7" s="1"/>
  <c r="J48" i="7" s="1"/>
  <c r="J49" i="7" s="1"/>
  <c r="I3" i="7"/>
  <c r="I4" i="7" s="1"/>
  <c r="I5" i="7" s="1"/>
  <c r="I6" i="7" s="1"/>
  <c r="I7" i="7" s="1"/>
  <c r="I8" i="7" s="1"/>
  <c r="I9" i="7" s="1"/>
  <c r="I10" i="7" s="1"/>
  <c r="I11" i="7" s="1"/>
  <c r="I12" i="7" s="1"/>
  <c r="I13" i="7" s="1"/>
  <c r="I14" i="7" s="1"/>
  <c r="I15" i="7" s="1"/>
  <c r="I16" i="7" s="1"/>
  <c r="I17" i="7" s="1"/>
  <c r="I18" i="7" s="1"/>
  <c r="I19" i="7" s="1"/>
  <c r="I20" i="7" s="1"/>
  <c r="I21" i="7" s="1"/>
  <c r="I22" i="7" s="1"/>
  <c r="I23" i="7" s="1"/>
  <c r="I24" i="7" s="1"/>
  <c r="I25" i="7" s="1"/>
  <c r="I26" i="7" s="1"/>
  <c r="I27" i="7" s="1"/>
  <c r="I28" i="7" s="1"/>
  <c r="I29" i="7" s="1"/>
  <c r="I30" i="7" s="1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H3" i="7"/>
  <c r="H4" i="7" s="1"/>
  <c r="H5" i="7" s="1"/>
  <c r="H6" i="7" s="1"/>
  <c r="H7" i="7" s="1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H30" i="7" s="1"/>
  <c r="H31" i="7" s="1"/>
  <c r="H32" i="7" s="1"/>
  <c r="H33" i="7" s="1"/>
  <c r="H34" i="7" s="1"/>
  <c r="H35" i="7" s="1"/>
  <c r="H36" i="7" s="1"/>
  <c r="H37" i="7" s="1"/>
  <c r="H38" i="7" s="1"/>
  <c r="H39" i="7" s="1"/>
  <c r="H40" i="7" s="1"/>
  <c r="H41" i="7" s="1"/>
  <c r="H42" i="7" s="1"/>
  <c r="H43" i="7" s="1"/>
  <c r="H44" i="7" s="1"/>
  <c r="H45" i="7" s="1"/>
  <c r="H46" i="7" s="1"/>
  <c r="H47" i="7" s="1"/>
  <c r="H48" i="7" s="1"/>
  <c r="H49" i="7" s="1"/>
  <c r="G3" i="7"/>
  <c r="G4" i="7" s="1"/>
  <c r="G5" i="7" s="1"/>
  <c r="G6" i="7" s="1"/>
  <c r="G7" i="7" s="1"/>
  <c r="G8" i="7" s="1"/>
  <c r="G9" i="7" s="1"/>
  <c r="G10" i="7" s="1"/>
  <c r="G11" i="7" s="1"/>
  <c r="G12" i="7" s="1"/>
  <c r="G13" i="7" s="1"/>
  <c r="G14" i="7" s="1"/>
  <c r="G15" i="7" s="1"/>
  <c r="G16" i="7" s="1"/>
  <c r="G17" i="7" s="1"/>
  <c r="G18" i="7" s="1"/>
  <c r="G19" i="7" s="1"/>
  <c r="G20" i="7" s="1"/>
  <c r="G21" i="7" s="1"/>
  <c r="G22" i="7" s="1"/>
  <c r="G23" i="7" s="1"/>
  <c r="G24" i="7" s="1"/>
  <c r="G25" i="7" s="1"/>
  <c r="G26" i="7" s="1"/>
  <c r="G27" i="7" s="1"/>
  <c r="G28" i="7" s="1"/>
  <c r="G29" i="7" s="1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G46" i="7" s="1"/>
  <c r="G47" i="7" s="1"/>
  <c r="G48" i="7" s="1"/>
  <c r="G49" i="7" s="1"/>
  <c r="L2" i="7"/>
  <c r="L3" i="7" s="1"/>
  <c r="L4" i="7" s="1"/>
  <c r="L5" i="7" s="1"/>
  <c r="L6" i="7" s="1"/>
  <c r="L7" i="7" s="1"/>
  <c r="L8" i="7" s="1"/>
  <c r="L9" i="7" s="1"/>
  <c r="L10" i="7" s="1"/>
  <c r="L11" i="7" s="1"/>
  <c r="L12" i="7" s="1"/>
  <c r="L13" i="7" s="1"/>
  <c r="L14" i="7" s="1"/>
  <c r="L15" i="7" s="1"/>
  <c r="L16" i="7" s="1"/>
  <c r="L17" i="7" s="1"/>
  <c r="L18" i="7" s="1"/>
  <c r="L19" i="7" s="1"/>
  <c r="L20" i="7" s="1"/>
  <c r="L21" i="7" s="1"/>
  <c r="L22" i="7" s="1"/>
  <c r="L23" i="7" s="1"/>
  <c r="L24" i="7" s="1"/>
  <c r="L25" i="7" s="1"/>
  <c r="L26" i="7" s="1"/>
  <c r="L27" i="7" s="1"/>
  <c r="L28" i="7" s="1"/>
  <c r="L29" i="7" s="1"/>
  <c r="L30" i="7" s="1"/>
  <c r="L31" i="7" s="1"/>
  <c r="L32" i="7" s="1"/>
  <c r="L33" i="7" s="1"/>
  <c r="L34" i="7" s="1"/>
  <c r="L35" i="7" s="1"/>
  <c r="L36" i="7" s="1"/>
  <c r="L37" i="7" s="1"/>
  <c r="L38" i="7" s="1"/>
  <c r="L39" i="7" s="1"/>
  <c r="L40" i="7" s="1"/>
  <c r="L41" i="7" s="1"/>
  <c r="L42" i="7" s="1"/>
  <c r="L43" i="7" s="1"/>
  <c r="L44" i="7" s="1"/>
  <c r="L45" i="7" s="1"/>
  <c r="L46" i="7" s="1"/>
  <c r="L47" i="7" s="1"/>
  <c r="L48" i="7" s="1"/>
  <c r="L49" i="7" s="1"/>
  <c r="K1" i="7"/>
  <c r="K2" i="7"/>
  <c r="K3" i="7" s="1"/>
  <c r="K4" i="7" s="1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K39" i="7" s="1"/>
  <c r="K40" i="7" s="1"/>
  <c r="K41" i="7" s="1"/>
  <c r="K42" i="7" s="1"/>
  <c r="K43" i="7" s="1"/>
  <c r="K44" i="7" s="1"/>
  <c r="K45" i="7" s="1"/>
  <c r="K46" i="7" s="1"/>
  <c r="K47" i="7" s="1"/>
  <c r="K48" i="7" s="1"/>
  <c r="K49" i="7" s="1"/>
  <c r="C4" i="6" l="1"/>
  <c r="E4" i="6" s="1"/>
  <c r="B5" i="6"/>
  <c r="D4" i="6"/>
  <c r="A4" i="5"/>
  <c r="C5" i="6" l="1"/>
  <c r="E5" i="6" s="1"/>
  <c r="D5" i="6"/>
  <c r="B6" i="6"/>
  <c r="P1" i="1"/>
  <c r="O1" i="1" s="1"/>
  <c r="B7" i="6" l="1"/>
  <c r="C6" i="6"/>
  <c r="E6" i="6" s="1"/>
  <c r="D6" i="6"/>
  <c r="B7" i="5"/>
  <c r="B8" i="6" l="1"/>
  <c r="C7" i="6"/>
  <c r="E7" i="6" s="1"/>
  <c r="D7" i="6"/>
  <c r="B2" i="2"/>
  <c r="C8" i="6" l="1"/>
  <c r="E8" i="6" s="1"/>
  <c r="D8" i="6"/>
  <c r="B9" i="6"/>
  <c r="B10" i="6" l="1"/>
  <c r="C9" i="6"/>
  <c r="E9" i="6" s="1"/>
  <c r="D9" i="6"/>
  <c r="D10" i="6" l="1"/>
  <c r="C10" i="6"/>
  <c r="E10" i="6" s="1"/>
  <c r="B11" i="6"/>
  <c r="B15" i="5"/>
  <c r="C11" i="6" l="1"/>
  <c r="E11" i="6" s="1"/>
  <c r="B12" i="6"/>
  <c r="D11" i="6"/>
  <c r="C2" i="2"/>
  <c r="C15" i="5"/>
  <c r="D15" i="5"/>
  <c r="F15" i="5"/>
  <c r="E15" i="5"/>
  <c r="C12" i="6" l="1"/>
  <c r="E12" i="6" s="1"/>
  <c r="D12" i="6"/>
  <c r="B13" i="6"/>
  <c r="C13" i="6" l="1"/>
  <c r="E13" i="6" s="1"/>
  <c r="B14" i="6"/>
  <c r="D13" i="6"/>
  <c r="C14" i="6" l="1"/>
  <c r="E14" i="6" s="1"/>
  <c r="B15" i="6"/>
  <c r="D14" i="6"/>
  <c r="B8" i="5"/>
  <c r="B3" i="2"/>
  <c r="B16" i="6" l="1"/>
  <c r="D15" i="6"/>
  <c r="C15" i="6"/>
  <c r="E15" i="6" s="1"/>
  <c r="B16" i="5"/>
  <c r="C3" i="2"/>
  <c r="C8" i="5"/>
  <c r="D8" i="5"/>
  <c r="F8" i="5"/>
  <c r="E8" i="5"/>
  <c r="B17" i="6" l="1"/>
  <c r="D16" i="6"/>
  <c r="C16" i="6"/>
  <c r="E16" i="6" s="1"/>
  <c r="C16" i="5"/>
  <c r="E16" i="5"/>
  <c r="F16" i="5"/>
  <c r="D16" i="5"/>
  <c r="D17" i="6" l="1"/>
  <c r="C17" i="6"/>
  <c r="E17" i="6" s="1"/>
  <c r="B18" i="6"/>
  <c r="C18" i="6" l="1"/>
  <c r="E18" i="6" s="1"/>
  <c r="D18" i="6"/>
  <c r="B19" i="6"/>
  <c r="B23" i="5"/>
  <c r="B20" i="6" l="1"/>
  <c r="D19" i="6"/>
  <c r="C19" i="6"/>
  <c r="E19" i="6" s="1"/>
  <c r="D2" i="2"/>
  <c r="B24" i="5"/>
  <c r="C23" i="5"/>
  <c r="F23" i="5"/>
  <c r="E23" i="5"/>
  <c r="D23" i="5"/>
  <c r="C20" i="6" l="1"/>
  <c r="E20" i="6" s="1"/>
  <c r="B21" i="6"/>
  <c r="D20" i="6"/>
  <c r="D3" i="2"/>
  <c r="E24" i="5"/>
  <c r="C24" i="5"/>
  <c r="D24" i="5"/>
  <c r="F24" i="5"/>
  <c r="B22" i="6" l="1"/>
  <c r="C21" i="6"/>
  <c r="E21" i="6" s="1"/>
  <c r="D21" i="6"/>
  <c r="D22" i="6" l="1"/>
  <c r="C22" i="6"/>
  <c r="E22" i="6" s="1"/>
  <c r="B23" i="6"/>
  <c r="C23" i="6" l="1"/>
  <c r="E23" i="6" s="1"/>
  <c r="D23" i="6"/>
  <c r="B24" i="6"/>
  <c r="D24" i="6" l="1"/>
  <c r="B25" i="6"/>
  <c r="C24" i="6"/>
  <c r="E24" i="6" s="1"/>
  <c r="D25" i="6" l="1"/>
  <c r="B26" i="6"/>
  <c r="C25" i="6"/>
  <c r="E25" i="6" s="1"/>
  <c r="C26" i="6" l="1"/>
  <c r="E26" i="6" s="1"/>
  <c r="B27" i="6"/>
  <c r="D26" i="6"/>
  <c r="B4" i="2"/>
  <c r="B9" i="5"/>
  <c r="E2" i="2"/>
  <c r="B28" i="6" l="1"/>
  <c r="C27" i="6"/>
  <c r="E27" i="6" s="1"/>
  <c r="D27" i="6"/>
  <c r="C4" i="2"/>
  <c r="B17" i="5"/>
  <c r="E9" i="5"/>
  <c r="C9" i="5"/>
  <c r="F9" i="5"/>
  <c r="D9" i="5"/>
  <c r="B31" i="5"/>
  <c r="E31" i="5" s="1"/>
  <c r="B32" i="5"/>
  <c r="D28" i="6" l="1"/>
  <c r="B29" i="6"/>
  <c r="C28" i="6"/>
  <c r="E28" i="6" s="1"/>
  <c r="B25" i="5"/>
  <c r="D4" i="2"/>
  <c r="F17" i="5"/>
  <c r="D17" i="5"/>
  <c r="C17" i="5"/>
  <c r="E17" i="5"/>
  <c r="B33" i="5"/>
  <c r="F31" i="5"/>
  <c r="C31" i="5"/>
  <c r="E3" i="2"/>
  <c r="D31" i="5"/>
  <c r="C32" i="5"/>
  <c r="F32" i="5"/>
  <c r="D32" i="5"/>
  <c r="E32" i="5"/>
  <c r="C29" i="6" l="1"/>
  <c r="E29" i="6" s="1"/>
  <c r="D29" i="6"/>
  <c r="B30" i="6"/>
  <c r="C25" i="5"/>
  <c r="F25" i="5"/>
  <c r="E25" i="5"/>
  <c r="D25" i="5"/>
  <c r="E4" i="2"/>
  <c r="C33" i="5"/>
  <c r="D33" i="5"/>
  <c r="E33" i="5"/>
  <c r="F33" i="5"/>
  <c r="B31" i="6" l="1"/>
  <c r="D30" i="6"/>
  <c r="C30" i="6"/>
  <c r="E30" i="6" s="1"/>
  <c r="D31" i="6" l="1"/>
  <c r="C31" i="6"/>
  <c r="E31" i="6" s="1"/>
  <c r="B32" i="6"/>
  <c r="D32" i="6" l="1"/>
  <c r="C32" i="6"/>
  <c r="E32" i="6" s="1"/>
  <c r="B33" i="6"/>
  <c r="C33" i="6" l="1"/>
  <c r="E33" i="6" s="1"/>
  <c r="B34" i="6"/>
  <c r="D33" i="6"/>
  <c r="D34" i="6" l="1"/>
  <c r="B35" i="6"/>
  <c r="C34" i="6"/>
  <c r="E34" i="6" s="1"/>
  <c r="F2" i="2"/>
  <c r="D35" i="6" l="1"/>
  <c r="C35" i="6"/>
  <c r="E35" i="6" s="1"/>
  <c r="B36" i="6"/>
  <c r="B39" i="5"/>
  <c r="C39" i="5" s="1"/>
  <c r="B40" i="5"/>
  <c r="B37" i="6" l="1"/>
  <c r="D36" i="6"/>
  <c r="C36" i="6"/>
  <c r="E36" i="6" s="1"/>
  <c r="F3" i="2"/>
  <c r="D39" i="5"/>
  <c r="E39" i="5"/>
  <c r="F39" i="5"/>
  <c r="B41" i="5"/>
  <c r="F40" i="5"/>
  <c r="C40" i="5"/>
  <c r="E40" i="5"/>
  <c r="D40" i="5"/>
  <c r="C37" i="6" l="1"/>
  <c r="E37" i="6" s="1"/>
  <c r="D37" i="6"/>
  <c r="B38" i="6"/>
  <c r="F4" i="2"/>
  <c r="F41" i="5"/>
  <c r="D41" i="5"/>
  <c r="E41" i="5"/>
  <c r="C41" i="5"/>
  <c r="D38" i="6" l="1"/>
  <c r="C38" i="6"/>
  <c r="E38" i="6" s="1"/>
  <c r="B39" i="6"/>
  <c r="B5" i="2"/>
  <c r="B10" i="5"/>
  <c r="B40" i="6" l="1"/>
  <c r="D39" i="6"/>
  <c r="C39" i="6"/>
  <c r="E39" i="6" s="1"/>
  <c r="C5" i="2"/>
  <c r="B18" i="5"/>
  <c r="C10" i="5"/>
  <c r="D10" i="5"/>
  <c r="E10" i="5"/>
  <c r="F10" i="5"/>
  <c r="D40" i="6" l="1"/>
  <c r="B41" i="6"/>
  <c r="C40" i="6"/>
  <c r="E40" i="6" s="1"/>
  <c r="B26" i="5"/>
  <c r="D5" i="2"/>
  <c r="F18" i="5"/>
  <c r="C18" i="5"/>
  <c r="E18" i="5"/>
  <c r="D18" i="5"/>
  <c r="D41" i="6" l="1"/>
  <c r="C41" i="6"/>
  <c r="E41" i="6" s="1"/>
  <c r="B42" i="6"/>
  <c r="B34" i="5"/>
  <c r="E5" i="2"/>
  <c r="F26" i="5"/>
  <c r="E26" i="5"/>
  <c r="D26" i="5"/>
  <c r="C26" i="5"/>
  <c r="D42" i="6" l="1"/>
  <c r="C42" i="6"/>
  <c r="E42" i="6" s="1"/>
  <c r="B43" i="6"/>
  <c r="F5" i="2"/>
  <c r="B42" i="5"/>
  <c r="E34" i="5"/>
  <c r="F34" i="5"/>
  <c r="D34" i="5"/>
  <c r="C34" i="5"/>
  <c r="G2" i="2"/>
  <c r="C43" i="6" l="1"/>
  <c r="E43" i="6" s="1"/>
  <c r="D43" i="6"/>
  <c r="B44" i="6"/>
  <c r="F42" i="5"/>
  <c r="C42" i="5"/>
  <c r="E42" i="5"/>
  <c r="D42" i="5"/>
  <c r="B47" i="5"/>
  <c r="C47" i="5" s="1"/>
  <c r="B48" i="5"/>
  <c r="C44" i="6" l="1"/>
  <c r="E44" i="6" s="1"/>
  <c r="D44" i="6"/>
  <c r="B45" i="6"/>
  <c r="D47" i="5"/>
  <c r="F47" i="5"/>
  <c r="G3" i="2"/>
  <c r="E47" i="5"/>
  <c r="G4" i="2"/>
  <c r="D48" i="5"/>
  <c r="C48" i="5"/>
  <c r="F48" i="5"/>
  <c r="E48" i="5"/>
  <c r="C45" i="6" l="1"/>
  <c r="E45" i="6" s="1"/>
  <c r="D45" i="6"/>
  <c r="B46" i="6"/>
  <c r="B49" i="5"/>
  <c r="C49" i="5" s="1"/>
  <c r="G5" i="2"/>
  <c r="C46" i="6" l="1"/>
  <c r="E46" i="6" s="1"/>
  <c r="D46" i="6"/>
  <c r="B47" i="6"/>
  <c r="F49" i="5"/>
  <c r="E49" i="5"/>
  <c r="B50" i="5"/>
  <c r="F50" i="5" s="1"/>
  <c r="D49" i="5"/>
  <c r="C47" i="6" l="1"/>
  <c r="E47" i="6" s="1"/>
  <c r="B48" i="6"/>
  <c r="D47" i="6"/>
  <c r="E50" i="5"/>
  <c r="C50" i="5"/>
  <c r="D50" i="5"/>
  <c r="H2" i="2" l="1"/>
  <c r="D48" i="6"/>
  <c r="C48" i="6"/>
  <c r="E48" i="6" s="1"/>
  <c r="B49" i="6"/>
  <c r="B6" i="2"/>
  <c r="H3" i="2" l="1"/>
  <c r="D49" i="6"/>
  <c r="Q1" i="6" s="1"/>
  <c r="C49" i="6"/>
  <c r="E49" i="6" s="1"/>
  <c r="B11" i="5"/>
  <c r="F11" i="5" s="1"/>
  <c r="C6" i="2"/>
  <c r="B55" i="5"/>
  <c r="C55" i="5" s="1"/>
  <c r="H4" i="2" l="1"/>
  <c r="B19" i="5"/>
  <c r="E19" i="5" s="1"/>
  <c r="D11" i="5"/>
  <c r="E11" i="5"/>
  <c r="C11" i="5"/>
  <c r="B27" i="5"/>
  <c r="F55" i="5"/>
  <c r="D55" i="5"/>
  <c r="B56" i="5"/>
  <c r="F56" i="5" s="1"/>
  <c r="E55" i="5"/>
  <c r="B58" i="5" l="1"/>
  <c r="C19" i="5"/>
  <c r="D19" i="5"/>
  <c r="F19" i="5"/>
  <c r="E6" i="2"/>
  <c r="D6" i="2"/>
  <c r="E27" i="5"/>
  <c r="C27" i="5"/>
  <c r="D27" i="5"/>
  <c r="F27" i="5"/>
  <c r="C56" i="5"/>
  <c r="B57" i="5"/>
  <c r="C57" i="5" s="1"/>
  <c r="D56" i="5"/>
  <c r="E56" i="5"/>
  <c r="B35" i="5" l="1"/>
  <c r="E35" i="5" s="1"/>
  <c r="F6" i="2"/>
  <c r="E57" i="5"/>
  <c r="F57" i="5"/>
  <c r="H5" i="2"/>
  <c r="D57" i="5"/>
  <c r="C58" i="5"/>
  <c r="E58" i="5"/>
  <c r="F58" i="5"/>
  <c r="D58" i="5"/>
  <c r="F35" i="5" l="1"/>
  <c r="D35" i="5"/>
  <c r="B43" i="5"/>
  <c r="E43" i="5" s="1"/>
  <c r="C35" i="5"/>
  <c r="B51" i="5"/>
  <c r="C43" i="5" l="1"/>
  <c r="D43" i="5"/>
  <c r="F43" i="5"/>
  <c r="G6" i="2"/>
  <c r="B59" i="5"/>
  <c r="D59" i="5" s="1"/>
  <c r="F51" i="5"/>
  <c r="D51" i="5"/>
  <c r="C51" i="5"/>
  <c r="E51" i="5"/>
  <c r="H6" i="2" l="1"/>
  <c r="E59" i="5"/>
  <c r="F59" i="5"/>
  <c r="C59" i="5"/>
  <c r="B63" i="5" l="1"/>
  <c r="C63" i="5" s="1"/>
  <c r="D63" i="5" l="1"/>
  <c r="E63" i="5"/>
  <c r="F63" i="5"/>
  <c r="I2" i="2"/>
  <c r="B64" i="5"/>
  <c r="D64" i="5" s="1"/>
  <c r="E64" i="5" l="1"/>
  <c r="F64" i="5"/>
  <c r="I3" i="2"/>
  <c r="I4" i="2"/>
  <c r="C64" i="5"/>
  <c r="B66" i="5" l="1"/>
  <c r="C66" i="5" s="1"/>
  <c r="B65" i="5"/>
  <c r="F65" i="5" s="1"/>
  <c r="I5" i="2" l="1"/>
  <c r="E66" i="5"/>
  <c r="F66" i="5"/>
  <c r="D66" i="5"/>
  <c r="E65" i="5"/>
  <c r="C65" i="5"/>
  <c r="D65" i="5"/>
  <c r="I6" i="2"/>
  <c r="B7" i="2"/>
  <c r="B67" i="5" l="1"/>
  <c r="E67" i="5" s="1"/>
  <c r="B12" i="5"/>
  <c r="C12" i="5" s="1"/>
  <c r="B20" i="5"/>
  <c r="F67" i="5" l="1"/>
  <c r="C67" i="5"/>
  <c r="D67" i="5"/>
  <c r="C7" i="2"/>
  <c r="F12" i="5"/>
  <c r="D12" i="5"/>
  <c r="E12" i="5"/>
  <c r="B28" i="5"/>
  <c r="D20" i="5"/>
  <c r="E20" i="5"/>
  <c r="C20" i="5"/>
  <c r="F20" i="5"/>
  <c r="B36" i="5" l="1"/>
  <c r="D7" i="2"/>
  <c r="E28" i="5"/>
  <c r="F28" i="5"/>
  <c r="D28" i="5"/>
  <c r="C28" i="5"/>
  <c r="J2" i="2" l="1"/>
  <c r="E7" i="2"/>
  <c r="B44" i="5"/>
  <c r="E36" i="5"/>
  <c r="C36" i="5"/>
  <c r="D36" i="5"/>
  <c r="F36" i="5"/>
  <c r="B71" i="5" l="1"/>
  <c r="B72" i="5"/>
  <c r="E72" i="5" s="1"/>
  <c r="F7" i="2"/>
  <c r="B52" i="5"/>
  <c r="E44" i="5"/>
  <c r="D44" i="5"/>
  <c r="F44" i="5"/>
  <c r="C44" i="5"/>
  <c r="C72" i="5" l="1"/>
  <c r="F72" i="5"/>
  <c r="D72" i="5"/>
  <c r="J3" i="2"/>
  <c r="E71" i="5"/>
  <c r="C71" i="5"/>
  <c r="F71" i="5"/>
  <c r="D71" i="5"/>
  <c r="G7" i="2"/>
  <c r="B60" i="5"/>
  <c r="E52" i="5"/>
  <c r="F52" i="5"/>
  <c r="D52" i="5"/>
  <c r="C52" i="5"/>
  <c r="J4" i="2" l="1"/>
  <c r="B73" i="5"/>
  <c r="B74" i="5"/>
  <c r="F74" i="5" s="1"/>
  <c r="H7" i="2"/>
  <c r="B68" i="5"/>
  <c r="E60" i="5"/>
  <c r="F60" i="5"/>
  <c r="C60" i="5"/>
  <c r="D60" i="5"/>
  <c r="C74" i="5" l="1"/>
  <c r="E74" i="5"/>
  <c r="D74" i="5"/>
  <c r="F73" i="5"/>
  <c r="E73" i="5"/>
  <c r="D73" i="5"/>
  <c r="C73" i="5"/>
  <c r="J5" i="2"/>
  <c r="B75" i="5"/>
  <c r="F75" i="5" s="1"/>
  <c r="I7" i="2"/>
  <c r="F68" i="5"/>
  <c r="D68" i="5"/>
  <c r="C68" i="5"/>
  <c r="E68" i="5"/>
  <c r="D75" i="5" l="1"/>
  <c r="E75" i="5"/>
  <c r="C75" i="5"/>
  <c r="J6" i="2"/>
  <c r="J7" i="2"/>
  <c r="B76" i="5" l="1"/>
  <c r="E76" i="5" s="1"/>
  <c r="C76" i="5" l="1"/>
  <c r="D76" i="5"/>
  <c r="F76" i="5"/>
  <c r="B8" i="2"/>
  <c r="B13" i="5" l="1"/>
  <c r="F13" i="5" s="1"/>
  <c r="B21" i="5"/>
  <c r="F21" i="5" s="1"/>
  <c r="B79" i="5" l="1"/>
  <c r="K2" i="2"/>
  <c r="D13" i="5"/>
  <c r="E13" i="5"/>
  <c r="D21" i="5"/>
  <c r="C13" i="5"/>
  <c r="C21" i="5"/>
  <c r="E21" i="5"/>
  <c r="C8" i="2"/>
  <c r="B29" i="5"/>
  <c r="F29" i="5" s="1"/>
  <c r="C79" i="5" l="1"/>
  <c r="E79" i="5"/>
  <c r="D79" i="5"/>
  <c r="F79" i="5"/>
  <c r="B80" i="5"/>
  <c r="K3" i="2"/>
  <c r="E29" i="5"/>
  <c r="D29" i="5"/>
  <c r="C29" i="5"/>
  <c r="B37" i="5"/>
  <c r="E37" i="5" s="1"/>
  <c r="D8" i="2"/>
  <c r="K4" i="2" l="1"/>
  <c r="B81" i="5"/>
  <c r="D80" i="5"/>
  <c r="C80" i="5"/>
  <c r="F80" i="5"/>
  <c r="E80" i="5"/>
  <c r="F37" i="5"/>
  <c r="C37" i="5"/>
  <c r="B45" i="5"/>
  <c r="C45" i="5" s="1"/>
  <c r="E8" i="2"/>
  <c r="D37" i="5"/>
  <c r="F81" i="5" l="1"/>
  <c r="E81" i="5"/>
  <c r="C81" i="5"/>
  <c r="D81" i="5"/>
  <c r="K5" i="2"/>
  <c r="B82" i="5"/>
  <c r="F45" i="5"/>
  <c r="E45" i="5"/>
  <c r="F8" i="2"/>
  <c r="B53" i="5"/>
  <c r="F53" i="5" s="1"/>
  <c r="D45" i="5"/>
  <c r="E82" i="5" l="1"/>
  <c r="F82" i="5"/>
  <c r="C82" i="5"/>
  <c r="D82" i="5"/>
  <c r="B83" i="5"/>
  <c r="K6" i="2"/>
  <c r="E53" i="5"/>
  <c r="C53" i="5"/>
  <c r="H8" i="2"/>
  <c r="G8" i="2"/>
  <c r="D53" i="5"/>
  <c r="D83" i="5" l="1"/>
  <c r="C83" i="5"/>
  <c r="E83" i="5"/>
  <c r="F83" i="5"/>
  <c r="B84" i="5"/>
  <c r="K7" i="2"/>
  <c r="B69" i="5"/>
  <c r="E69" i="5" s="1"/>
  <c r="B61" i="5"/>
  <c r="E61" i="5" s="1"/>
  <c r="C84" i="5" l="1"/>
  <c r="D84" i="5"/>
  <c r="E84" i="5"/>
  <c r="F84" i="5"/>
  <c r="I8" i="2"/>
  <c r="C69" i="5"/>
  <c r="D69" i="5"/>
  <c r="C61" i="5"/>
  <c r="F69" i="5"/>
  <c r="D61" i="5"/>
  <c r="F61" i="5"/>
  <c r="J8" i="2"/>
  <c r="B77" i="5" l="1"/>
  <c r="E77" i="5" s="1"/>
  <c r="K8" i="2"/>
  <c r="L2" i="2" l="1"/>
  <c r="B87" i="5"/>
  <c r="D77" i="5"/>
  <c r="C77" i="5"/>
  <c r="B85" i="5"/>
  <c r="F85" i="5" s="1"/>
  <c r="F77" i="5"/>
  <c r="B88" i="5" l="1"/>
  <c r="L3" i="2"/>
  <c r="F87" i="5"/>
  <c r="D87" i="5"/>
  <c r="C87" i="5"/>
  <c r="E87" i="5"/>
  <c r="E85" i="5"/>
  <c r="C85" i="5"/>
  <c r="D85" i="5"/>
  <c r="L4" i="2" l="1"/>
  <c r="B89" i="5"/>
  <c r="F88" i="5"/>
  <c r="E88" i="5"/>
  <c r="C88" i="5"/>
  <c r="D88" i="5"/>
  <c r="B14" i="5"/>
  <c r="F14" i="5" s="1"/>
  <c r="L5" i="2" l="1"/>
  <c r="B90" i="5"/>
  <c r="E89" i="5"/>
  <c r="D89" i="5"/>
  <c r="C89" i="5"/>
  <c r="F89" i="5"/>
  <c r="B9" i="2"/>
  <c r="C14" i="5"/>
  <c r="D14" i="5"/>
  <c r="E14" i="5"/>
  <c r="C9" i="2"/>
  <c r="F90" i="5" l="1"/>
  <c r="D90" i="5"/>
  <c r="E90" i="5"/>
  <c r="C90" i="5"/>
  <c r="L6" i="2"/>
  <c r="B91" i="5"/>
  <c r="B22" i="5"/>
  <c r="F22" i="5" s="1"/>
  <c r="F91" i="5" l="1"/>
  <c r="D91" i="5"/>
  <c r="C91" i="5"/>
  <c r="E91" i="5"/>
  <c r="L7" i="2"/>
  <c r="B92" i="5"/>
  <c r="C22" i="5"/>
  <c r="D9" i="2"/>
  <c r="B30" i="5"/>
  <c r="D22" i="5"/>
  <c r="E22" i="5"/>
  <c r="B38" i="5"/>
  <c r="C38" i="5" s="1"/>
  <c r="C92" i="5" l="1"/>
  <c r="D92" i="5"/>
  <c r="F92" i="5"/>
  <c r="E92" i="5"/>
  <c r="B93" i="5"/>
  <c r="L8" i="2"/>
  <c r="E9" i="2"/>
  <c r="D38" i="5"/>
  <c r="E38" i="5"/>
  <c r="F38" i="5"/>
  <c r="F9" i="2"/>
  <c r="F30" i="5"/>
  <c r="C30" i="5"/>
  <c r="E30" i="5"/>
  <c r="D30" i="5"/>
  <c r="F93" i="5" l="1"/>
  <c r="D93" i="5"/>
  <c r="E93" i="5"/>
  <c r="C93" i="5"/>
  <c r="B46" i="5"/>
  <c r="D46" i="5" s="1"/>
  <c r="B95" i="5" l="1"/>
  <c r="M2" i="2"/>
  <c r="C46" i="5"/>
  <c r="F46" i="5"/>
  <c r="G9" i="2"/>
  <c r="B54" i="5"/>
  <c r="E46" i="5"/>
  <c r="H9" i="2"/>
  <c r="B96" i="5" l="1"/>
  <c r="M3" i="2"/>
  <c r="F95" i="5"/>
  <c r="D95" i="5"/>
  <c r="E95" i="5"/>
  <c r="C95" i="5"/>
  <c r="B62" i="5"/>
  <c r="C62" i="5" s="1"/>
  <c r="E54" i="5"/>
  <c r="D54" i="5"/>
  <c r="F54" i="5"/>
  <c r="C54" i="5"/>
  <c r="B97" i="5" l="1"/>
  <c r="M4" i="2"/>
  <c r="E96" i="5"/>
  <c r="C96" i="5"/>
  <c r="D96" i="5"/>
  <c r="F96" i="5"/>
  <c r="F62" i="5"/>
  <c r="E62" i="5"/>
  <c r="D62" i="5"/>
  <c r="B70" i="5"/>
  <c r="I9" i="2"/>
  <c r="B98" i="5" l="1"/>
  <c r="M5" i="2"/>
  <c r="E97" i="5"/>
  <c r="C97" i="5"/>
  <c r="F97" i="5"/>
  <c r="D97" i="5"/>
  <c r="B78" i="5"/>
  <c r="J9" i="2"/>
  <c r="D70" i="5"/>
  <c r="F70" i="5"/>
  <c r="E70" i="5"/>
  <c r="C70" i="5"/>
  <c r="M1" i="1"/>
  <c r="L1" i="1"/>
  <c r="B99" i="5" l="1"/>
  <c r="M6" i="2"/>
  <c r="E98" i="5"/>
  <c r="C98" i="5"/>
  <c r="F98" i="5"/>
  <c r="D98" i="5"/>
  <c r="K9" i="2"/>
  <c r="B86" i="5"/>
  <c r="B94" i="5"/>
  <c r="E94" i="5" s="1"/>
  <c r="F78" i="5"/>
  <c r="E78" i="5"/>
  <c r="D78" i="5"/>
  <c r="C78" i="5"/>
  <c r="B100" i="5" l="1"/>
  <c r="M7" i="2"/>
  <c r="M9" i="2"/>
  <c r="C99" i="5"/>
  <c r="D99" i="5"/>
  <c r="F99" i="5"/>
  <c r="E99" i="5"/>
  <c r="L9" i="2"/>
  <c r="F94" i="5"/>
  <c r="C94" i="5"/>
  <c r="D94" i="5"/>
  <c r="C86" i="5"/>
  <c r="D86" i="5"/>
  <c r="E86" i="5"/>
  <c r="F86" i="5"/>
  <c r="B102" i="5" l="1"/>
  <c r="F102" i="5" s="1"/>
  <c r="B101" i="5"/>
  <c r="M8" i="2"/>
  <c r="D100" i="5"/>
  <c r="F100" i="5"/>
  <c r="C100" i="5"/>
  <c r="E100" i="5"/>
  <c r="C102" i="5" l="1"/>
  <c r="D102" i="5"/>
  <c r="E102" i="5"/>
  <c r="F101" i="5"/>
  <c r="C101" i="5"/>
  <c r="D101" i="5"/>
  <c r="E101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Питерский Михаил Валерьевич</author>
  </authors>
  <commentList>
    <comment ref="R1" authorId="0" shapeId="0" xr:uid="{00000000-0006-0000-0100-000001000000}">
      <text>
        <r>
          <rPr>
            <b/>
            <sz val="12"/>
            <color indexed="81"/>
            <rFont val="Tahoma"/>
            <family val="2"/>
            <charset val="204"/>
          </rPr>
          <t>1-да</t>
        </r>
      </text>
    </comment>
  </commentList>
</comments>
</file>

<file path=xl/sharedStrings.xml><?xml version="1.0" encoding="utf-8"?>
<sst xmlns="http://schemas.openxmlformats.org/spreadsheetml/2006/main" count="554" uniqueCount="341">
  <si>
    <t>ID</t>
  </si>
  <si>
    <t>A</t>
  </si>
  <si>
    <t>B</t>
  </si>
  <si>
    <t>C</t>
  </si>
  <si>
    <t>D</t>
  </si>
  <si>
    <t>E</t>
  </si>
  <si>
    <t>F</t>
  </si>
  <si>
    <t>G</t>
  </si>
  <si>
    <t>H</t>
  </si>
  <si>
    <t>Строка,Столбец,*Имя мишени,*Имя пробы</t>
  </si>
  <si>
    <t>3500 Plate Layout File Version 1.0</t>
  </si>
  <si>
    <t>Plate Name</t>
  </si>
  <si>
    <t>Application Type</t>
  </si>
  <si>
    <t>Capillary Length (cm)</t>
  </si>
  <si>
    <t>Polymer</t>
  </si>
  <si>
    <t>Number of Wells</t>
  </si>
  <si>
    <t>Owner Name</t>
  </si>
  <si>
    <t>Barcode Number</t>
  </si>
  <si>
    <t>Comments</t>
  </si>
  <si>
    <t>Sequencing</t>
  </si>
  <si>
    <t>POP7</t>
  </si>
  <si>
    <t>Well</t>
  </si>
  <si>
    <t>Sample Name</t>
  </si>
  <si>
    <t>Assay</t>
  </si>
  <si>
    <t>Results Group</t>
  </si>
  <si>
    <t>File Name Convention</t>
  </si>
  <si>
    <t>Sample Type</t>
  </si>
  <si>
    <t>User Defined Field 1</t>
  </si>
  <si>
    <t>User Defined Field 2</t>
  </si>
  <si>
    <t>User Defined Field 3</t>
  </si>
  <si>
    <t>User Defined Field 4</t>
  </si>
  <si>
    <t>User Defined Field 5</t>
  </si>
  <si>
    <t>Amplicon</t>
  </si>
  <si>
    <t>Specimen</t>
  </si>
  <si>
    <t>A01</t>
  </si>
  <si>
    <t>Std_Seq_Assay-POP7</t>
  </si>
  <si>
    <t>HIV</t>
  </si>
  <si>
    <t>Sample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</si>
  <si>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</si>
  <si>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</si>
  <si>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</si>
  <si>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</si>
  <si>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</si>
  <si>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</si>
  <si>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</si>
  <si>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</si>
  <si>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</si>
  <si>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</si>
  <si>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</si>
  <si>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</si>
  <si>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</si>
  <si>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</si>
  <si>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</si>
  <si>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</si>
  <si>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</si>
  <si>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</si>
  <si>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</si>
  <si>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</si>
  <si>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</si>
  <si>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</si>
  <si>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</si>
  <si>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</si>
  <si>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</si>
  <si>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</si>
  <si>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</si>
  <si>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</si>
  <si>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</si>
  <si>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</si>
  <si>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</si>
  <si>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</si>
  <si>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</si>
  <si>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</si>
  <si>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</si>
  <si>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</si>
  <si>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</si>
  <si>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</si>
  <si>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</si>
  <si>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</si>
  <si>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</si>
  <si>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</si>
  <si>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</si>
  <si>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</si>
  <si>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</si>
  <si>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</si>
  <si>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</si>
  <si>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</si>
  <si>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</si>
  <si>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</si>
  <si>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</si>
  <si>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</si>
  <si>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</si>
  <si>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</si>
  <si>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</si>
  <si>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</si>
  <si>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</si>
  <si>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</si>
  <si>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</si>
  <si>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</si>
  <si>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</si>
  <si>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</si>
  <si>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</si>
  <si>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</si>
  <si>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</si>
  <si>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</si>
  <si>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</si>
  <si>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</si>
  <si>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</si>
  <si>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</si>
  <si>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</si>
  <si>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</si>
  <si>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</si>
  <si>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</si>
  <si>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</si>
  <si>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</si>
  <si>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</si>
  <si>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</si>
  <si>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</si>
  <si>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</si>
  <si>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</si>
  <si>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</si>
  <si>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</si>
  <si>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</si>
  <si>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</si>
  <si>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</si>
  <si>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</si>
  <si>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</si>
  <si>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</si>
  <si>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</si>
  <si>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</si>
  <si>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</si>
  <si>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</si>
  <si>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</si>
  <si>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</si>
  <si>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Strip</t>
  </si>
  <si>
    <t>Line</t>
  </si>
  <si>
    <t>Date</t>
  </si>
  <si>
    <t>KOD</t>
  </si>
  <si>
    <t>Cell1</t>
  </si>
  <si>
    <t>CELL2</t>
  </si>
  <si>
    <t>MOUNT:</t>
  </si>
  <si>
    <t>FORMAT:</t>
  </si>
  <si>
    <t>DATE?</t>
  </si>
  <si>
    <t>Target1</t>
  </si>
  <si>
    <t>Target2</t>
  </si>
  <si>
    <t>Прямой</t>
  </si>
  <si>
    <t>Обратный</t>
  </si>
  <si>
    <t>PUL1:</t>
  </si>
  <si>
    <t>=</t>
  </si>
  <si>
    <t>-</t>
  </si>
  <si>
    <t>Probe</t>
  </si>
  <si>
    <t>230215-COVID-19</t>
  </si>
  <si>
    <t>Префикс</t>
  </si>
  <si>
    <t>Номер</t>
  </si>
  <si>
    <t>Суффикс</t>
  </si>
  <si>
    <t>Пациент</t>
  </si>
  <si>
    <t>Доп. инф. о пациенте</t>
  </si>
  <si>
    <t>Внешний Id пациента</t>
  </si>
  <si>
    <t>Вид биоматериала</t>
  </si>
  <si>
    <t>Дата регистрации</t>
  </si>
  <si>
    <t>Дата взятия</t>
  </si>
  <si>
    <t>Методики</t>
  </si>
  <si>
    <t>Плазма крови 0.1 мл</t>
  </si>
  <si>
    <t>Cov-Bat#</t>
  </si>
  <si>
    <t>230115-34-34A</t>
  </si>
  <si>
    <t>230115-35-35A</t>
  </si>
  <si>
    <t>230115-36-36A</t>
  </si>
  <si>
    <t>230115-37-37A</t>
  </si>
  <si>
    <t>230115-38-38A</t>
  </si>
  <si>
    <t>230115-43-43A</t>
  </si>
  <si>
    <t>230115-44-44A</t>
  </si>
  <si>
    <t>230115-45-45A</t>
  </si>
  <si>
    <t>230115-34-34B</t>
  </si>
  <si>
    <t>230115-35-35B</t>
  </si>
  <si>
    <t>230115-36-36B</t>
  </si>
  <si>
    <t>230115-37-37B</t>
  </si>
  <si>
    <t>230115-38-38B</t>
  </si>
  <si>
    <t>230115-43-43B</t>
  </si>
  <si>
    <t>230115-44-44B</t>
  </si>
  <si>
    <t>230115-45-45B</t>
  </si>
  <si>
    <t>230115-46-46A</t>
  </si>
  <si>
    <t>230115-47-47A</t>
  </si>
  <si>
    <t>230115-48-48A</t>
  </si>
  <si>
    <t>230115-49-49A</t>
  </si>
  <si>
    <t>230115-50-50A</t>
  </si>
  <si>
    <t>230115-34A</t>
  </si>
  <si>
    <t>230115-35A</t>
  </si>
  <si>
    <t>230115-36A</t>
  </si>
  <si>
    <t>230115-46-46B</t>
  </si>
  <si>
    <t>230115-47-47B</t>
  </si>
  <si>
    <t>230115-48-48B</t>
  </si>
  <si>
    <t>230115-49-49B</t>
  </si>
  <si>
    <t>230115-50-50B</t>
  </si>
  <si>
    <t>230115-34B</t>
  </si>
  <si>
    <t>230115-35B</t>
  </si>
  <si>
    <t>230115-36B</t>
  </si>
  <si>
    <t>230115-38A</t>
  </si>
  <si>
    <t>230115-39A</t>
  </si>
  <si>
    <t>230115-43A</t>
  </si>
  <si>
    <t>230115-44A</t>
  </si>
  <si>
    <t>230115-46A</t>
  </si>
  <si>
    <t>230115-49A</t>
  </si>
  <si>
    <t>230115-50A</t>
  </si>
  <si>
    <t>230115-</t>
  </si>
  <si>
    <t>230115-38B</t>
  </si>
  <si>
    <t>230115-39B</t>
  </si>
  <si>
    <t>230115-43B</t>
  </si>
  <si>
    <t>230115-44B</t>
  </si>
  <si>
    <t>230115-46B</t>
  </si>
  <si>
    <t>230115-49B</t>
  </si>
  <si>
    <t>230115-50B</t>
  </si>
  <si>
    <t>мазок</t>
  </si>
  <si>
    <t>Rem</t>
  </si>
  <si>
    <t>ЕСЛИ(F2="";"";ЕСЛИ(И($R$1=1;НЕ(ЕОШ(ГОД(D2))));ТЕКСТ(D2;"ГГММДД")&amp;"-";"")&amp;ЕСЛИ(F2&lt;&gt;"_";ЕСЛИ(ДЛСТР(F2)&lt;4;ЛЕВСИМВ("00";3-ДЛСТР(F2));"")&amp;F2;""))</t>
  </si>
  <si>
    <t>C2&amp;B2</t>
  </si>
  <si>
    <t>C2&amp;ЕСЛИ(ДЛСТР(B2)=1;"0"&amp;B2;B2)</t>
  </si>
  <si>
    <t>ЕСЛИ(НЕ(ЕОШ(F8+1));F8+1;F8)</t>
  </si>
  <si>
    <t>ЕСЛИОШИБКА(ИНДЕКС(Data!$G$1:$G$400;ПОИСКПОЗ($A2&amp;M$1;Data!$H$1:$H$400;0);1);"")</t>
  </si>
  <si>
    <t>A,1,,230727-003</t>
  </si>
  <si>
    <t>A,2,,230727-004</t>
  </si>
  <si>
    <t>A,3,,230727-005</t>
  </si>
  <si>
    <t>A,4,,230727-006</t>
  </si>
  <si>
    <t>A,5,,230727-009</t>
  </si>
  <si>
    <t>A,6,,230727-010</t>
  </si>
  <si>
    <t>A,7,,230727-012</t>
  </si>
  <si>
    <t>A,8,,230727-013</t>
  </si>
  <si>
    <t>A,9,,230727-014</t>
  </si>
  <si>
    <t>A,10,,230727-015</t>
  </si>
  <si>
    <t>A,11,,230727-016</t>
  </si>
  <si>
    <t>A,12,,230727-017</t>
  </si>
  <si>
    <t>B,1,,230727-018</t>
  </si>
  <si>
    <t>B,2,,230727-019</t>
  </si>
  <si>
    <t>B,3,,230727-020</t>
  </si>
  <si>
    <t>B,4,,230727-021</t>
  </si>
  <si>
    <t>B,5,,230727-022</t>
  </si>
  <si>
    <t>B,6,,230727-023</t>
  </si>
  <si>
    <t>B,7,,230727-024</t>
  </si>
  <si>
    <t>B,8,,230727-025</t>
  </si>
  <si>
    <t>B,9,,230727-026</t>
  </si>
  <si>
    <t>B,10,,230727-027</t>
  </si>
  <si>
    <t>B,11,,230727-028</t>
  </si>
  <si>
    <t>B,12,,230727-029</t>
  </si>
  <si>
    <t>C,1,,230727-030</t>
  </si>
  <si>
    <t>C,2,,230727-031</t>
  </si>
  <si>
    <t>C,3,,230727-032</t>
  </si>
  <si>
    <t>C,4,,230727-033</t>
  </si>
  <si>
    <t>C,5,,230727-034</t>
  </si>
  <si>
    <t>C,6,,230727-035</t>
  </si>
  <si>
    <t>C,7,,230727-036</t>
  </si>
  <si>
    <t>C,8,,230727-037</t>
  </si>
  <si>
    <t>C,9,,230727-038</t>
  </si>
  <si>
    <t>C,10,,230727-039</t>
  </si>
  <si>
    <t>C,11,,230727-040</t>
  </si>
  <si>
    <t>C,12,,230727-041</t>
  </si>
  <si>
    <t>D,1,,230727-042</t>
  </si>
  <si>
    <t>D,2,,230727-043</t>
  </si>
  <si>
    <t>D,3,,230727-044</t>
  </si>
  <si>
    <t>D,4,,230727-045</t>
  </si>
  <si>
    <t>D,5,,230727-046</t>
  </si>
  <si>
    <t>D,6,,230727-047</t>
  </si>
  <si>
    <t>D,7,,230727-048</t>
  </si>
  <si>
    <t>D,8,,230727-049</t>
  </si>
  <si>
    <t>D,9,,230727-050</t>
  </si>
  <si>
    <t>D,10,,230727-051</t>
  </si>
  <si>
    <t>D,11,,230727-052</t>
  </si>
  <si>
    <t>D,12,,230727-053</t>
  </si>
  <si>
    <t>E,1,,230727-054</t>
  </si>
  <si>
    <t>E,2,,230727-055</t>
  </si>
  <si>
    <t>E,3,,230727-056</t>
  </si>
  <si>
    <t>E,4,,230727-057</t>
  </si>
  <si>
    <t>E,5,,230727-058</t>
  </si>
  <si>
    <t>E,6,,230727-059</t>
  </si>
  <si>
    <t>E,7,,230727-060</t>
  </si>
  <si>
    <t>E,8,,230727-061</t>
  </si>
  <si>
    <t>E,9,,230727-062</t>
  </si>
  <si>
    <t>E,10,,230727-063</t>
  </si>
  <si>
    <t>E,11,,230727-064</t>
  </si>
  <si>
    <t>E,12,,230727-065</t>
  </si>
  <si>
    <t>F,1,,230727-066</t>
  </si>
  <si>
    <t>F,2,,230727-067</t>
  </si>
  <si>
    <t>F,3,,230727-068</t>
  </si>
  <si>
    <t>F,4,,230727-069</t>
  </si>
  <si>
    <t>F,5,,230727-070</t>
  </si>
  <si>
    <t>F,6,,230727-071</t>
  </si>
  <si>
    <t>F,7,,230727-072</t>
  </si>
  <si>
    <t>F,8,,230727-073</t>
  </si>
  <si>
    <t>F,9,,230727-074</t>
  </si>
  <si>
    <t>F,10,,230727-075</t>
  </si>
  <si>
    <t>F,11,,230727-076</t>
  </si>
  <si>
    <t>F,12,,230727-077</t>
  </si>
  <si>
    <t>G,1,,230727-078</t>
  </si>
  <si>
    <t>G,2,,230727-079</t>
  </si>
  <si>
    <t>G,3,,230727-080</t>
  </si>
  <si>
    <t>G,4,,230727-081</t>
  </si>
  <si>
    <t>G,5,,230727-082</t>
  </si>
  <si>
    <t>G,6,,230727-083</t>
  </si>
  <si>
    <t>G,7,,230727-084</t>
  </si>
  <si>
    <t>G,8,,230727-085</t>
  </si>
  <si>
    <t>G,9,,230727-086</t>
  </si>
  <si>
    <t>G,10,,230727-087</t>
  </si>
  <si>
    <t>G,11,,230727-088</t>
  </si>
  <si>
    <t>G,12,,230727-089</t>
  </si>
  <si>
    <t>H,1,,230727-090</t>
  </si>
  <si>
    <t>H,2,,230727-091</t>
  </si>
  <si>
    <t>H,3,,230727-092</t>
  </si>
  <si>
    <t>H,4,,230727-093</t>
  </si>
  <si>
    <t>H,5,,230727-094</t>
  </si>
  <si>
    <t>H,6,,230727-095</t>
  </si>
  <si>
    <t>H,7,,230727-096</t>
  </si>
  <si>
    <t>H,8,,230727-097</t>
  </si>
  <si>
    <t>H,9,,230727-098</t>
  </si>
  <si>
    <t>H,10,,230727-099</t>
  </si>
  <si>
    <t>H,11,,230727-100</t>
  </si>
  <si>
    <t>H,12,,230727-101</t>
  </si>
  <si>
    <t>env-f</t>
  </si>
  <si>
    <t>p1</t>
  </si>
  <si>
    <t>p2</t>
  </si>
  <si>
    <t>r1</t>
  </si>
  <si>
    <t>r2</t>
  </si>
  <si>
    <t>r3</t>
  </si>
  <si>
    <t>r4</t>
  </si>
  <si>
    <t>env-r</t>
  </si>
  <si>
    <t>188a</t>
  </si>
  <si>
    <t>191a</t>
  </si>
  <si>
    <t>213a</t>
  </si>
  <si>
    <t>241a</t>
  </si>
  <si>
    <t>214a</t>
  </si>
  <si>
    <t>216a</t>
  </si>
  <si>
    <t>219a</t>
  </si>
  <si>
    <t>220a</t>
  </si>
  <si>
    <t>222a</t>
  </si>
  <si>
    <t>226a</t>
  </si>
  <si>
    <t>228a</t>
  </si>
  <si>
    <t>229a</t>
  </si>
  <si>
    <t>231a</t>
  </si>
  <si>
    <t>232a</t>
  </si>
  <si>
    <t>234a</t>
  </si>
  <si>
    <t>235a</t>
  </si>
  <si>
    <t>239a</t>
  </si>
  <si>
    <t>240a</t>
  </si>
  <si>
    <t>243a</t>
  </si>
  <si>
    <t>244a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</si>
</sst>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30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sz val="15"/>
      <color theme="1"/>
      <name val="Calibri"/>
      <family val="2"/>
      <charset val="204"/>
      <scheme val="minor"/>
    </font>
    <font>
      <b/>
      <sz val="12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darkTrellis">
        <fgColor theme="0" tint="-0.499984740745262"/>
        <bgColor indexed="65"/>
      </patternFill>
    </fill>
    <fill>
      <patternFill patternType="solid">
        <fgColor theme="2" tint="-0.499984740745262"/>
        <bgColor indexed="64"/>
      </patternFill>
    </fill>
  </fills>
  <borders count="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>
      <alignment horizontal="center"/>
    </xf>
    <xf numFmtId="0" fontId="0" fillId="2" borderId="0" xfId="0" applyFill="1"/>
    <xf numFmtId="164" fontId="0" fillId="2" borderId="0" xfId="0" applyNumberFormat="1" applyFill="1"/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4" borderId="0" xfId="0" applyFill="1" applyAlignment="1">
      <alignment horizontal="right"/>
    </xf>
    <xf numFmtId="0" fontId="0" fillId="5" borderId="1" xfId="0" applyFill="1" applyBorder="1"/>
    <xf numFmtId="0" fontId="4" fillId="2" borderId="0" xfId="0" applyFont="1" applyFill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5" fillId="0" borderId="1" xfId="0" applyFont="1" applyBorder="1" applyAlignment="1">
      <alignment horizontal="center" vertical="center" wrapText="1"/>
    </xf>
    <xf numFmtId="0" fontId="0" fillId="6" borderId="0" xfId="0" applyFill="1"/>
    <xf numFmtId="0" fontId="0" fillId="4" borderId="0" xfId="0" applyFill="1"/>
    <xf numFmtId="22" fontId="0" fillId="0" borderId="0" xfId="0" applyNumberFormat="1"/>
    <xf numFmtId="22" fontId="0" fillId="2" borderId="0" xfId="0" applyNumberFormat="1" applyFill="1"/>
    <xf numFmtId="0" fontId="0" fillId="2" borderId="0" xfId="0" applyFill="1" applyAlignment="1">
      <alignment horizontal="center"/>
    </xf>
    <xf numFmtId="0" fontId="7" fillId="2" borderId="2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/>
    <xf numFmtId="0" fontId="7" fillId="2" borderId="4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Fill="1"/>
    <xf numFmtId="164" fontId="0" fillId="0" borderId="0" xfId="0" applyNumberFormat="1" applyFill="1"/>
  </cellXfs>
  <cellStyles count="1">
    <cellStyle name="Обычный" xfId="0" builtinId="0"/>
  </cellStyles>
  <dxfs count="3"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6</xdr:row>
      <xdr:rowOff>133351</xdr:rowOff>
    </xdr:from>
    <xdr:to>
      <xdr:col>10</xdr:col>
      <xdr:colOff>28575</xdr:colOff>
      <xdr:row>8</xdr:row>
      <xdr:rowOff>152401</xdr:rowOff>
    </xdr:to>
    <xdr:sp macro="[0]!IDprobe3" textlink="">
      <xdr:nvSpPr>
        <xdr:cNvPr id="3" name="Пяти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486150" y="1276351"/>
          <a:ext cx="1438275" cy="40005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/>
            <a:t>PUL</a:t>
          </a:r>
          <a:endParaRPr lang="ru-RU" sz="2000" b="1"/>
        </a:p>
      </xdr:txBody>
    </xdr:sp>
    <xdr:clientData/>
  </xdr:twoCellAnchor>
  <xdr:twoCellAnchor>
    <xdr:from>
      <xdr:col>7</xdr:col>
      <xdr:colOff>114300</xdr:colOff>
      <xdr:row>1</xdr:row>
      <xdr:rowOff>38100</xdr:rowOff>
    </xdr:from>
    <xdr:to>
      <xdr:col>8</xdr:col>
      <xdr:colOff>419100</xdr:colOff>
      <xdr:row>6</xdr:row>
      <xdr:rowOff>0</xdr:rowOff>
    </xdr:to>
    <xdr:sp macro="[0]!IDchist" textlink="">
      <xdr:nvSpPr>
        <xdr:cNvPr id="4" name="Солнце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705225" y="228600"/>
          <a:ext cx="914400" cy="914400"/>
        </a:xfrm>
        <a:prstGeom prst="sun">
          <a:avLst/>
        </a:prstGeom>
        <a:gradFill>
          <a:gsLst>
            <a:gs pos="0">
              <a:srgbClr val="000082"/>
            </a:gs>
            <a:gs pos="30000">
              <a:srgbClr val="66008F"/>
            </a:gs>
            <a:gs pos="64999">
              <a:srgbClr val="BA0066"/>
            </a:gs>
            <a:gs pos="89999">
              <a:srgbClr val="FF0000"/>
            </a:gs>
            <a:gs pos="100000">
              <a:srgbClr val="FF8200"/>
            </a:gs>
          </a:gsLst>
          <a:lin ang="5400000"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11430</xdr:colOff>
      <xdr:row>6</xdr:row>
      <xdr:rowOff>142875</xdr:rowOff>
    </xdr:from>
    <xdr:to>
      <xdr:col>12</xdr:col>
      <xdr:colOff>462915</xdr:colOff>
      <xdr:row>10</xdr:row>
      <xdr:rowOff>85725</xdr:rowOff>
    </xdr:to>
    <xdr:pic macro="[0]!Plashka1">
      <xdr:nvPicPr>
        <xdr:cNvPr id="1185" name="Рисунок 2">
          <a:extLst>
            <a:ext uri="{FF2B5EF4-FFF2-40B4-BE49-F238E27FC236}">
              <a16:creationId xmlns:a16="http://schemas.microsoft.com/office/drawing/2014/main" id="{00000000-0008-0000-01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0680" y="1276350"/>
          <a:ext cx="1670685" cy="70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absolute">
    <xdr:from>
      <xdr:col>10</xdr:col>
      <xdr:colOff>30480</xdr:colOff>
      <xdr:row>11</xdr:row>
      <xdr:rowOff>47625</xdr:rowOff>
    </xdr:from>
    <xdr:to>
      <xdr:col>12</xdr:col>
      <xdr:colOff>472440</xdr:colOff>
      <xdr:row>15</xdr:row>
      <xdr:rowOff>0</xdr:rowOff>
    </xdr:to>
    <xdr:pic macro="[0]!Plashka2">
      <xdr:nvPicPr>
        <xdr:cNvPr id="1186" name="Рисунок 3">
          <a:extLst>
            <a:ext uri="{FF2B5EF4-FFF2-40B4-BE49-F238E27FC236}">
              <a16:creationId xmlns:a16="http://schemas.microsoft.com/office/drawing/2014/main" id="{00000000-0008-0000-01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59730" y="2133600"/>
          <a:ext cx="1661160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absolute">
    <xdr:from>
      <xdr:col>13</xdr:col>
      <xdr:colOff>93345</xdr:colOff>
      <xdr:row>1</xdr:row>
      <xdr:rowOff>80010</xdr:rowOff>
    </xdr:from>
    <xdr:to>
      <xdr:col>14</xdr:col>
      <xdr:colOff>468630</xdr:colOff>
      <xdr:row>5</xdr:row>
      <xdr:rowOff>13335</xdr:rowOff>
    </xdr:to>
    <xdr:pic macro="[0]!RotorGene">
      <xdr:nvPicPr>
        <xdr:cNvPr id="1187" name="Рисунок 1">
          <a:extLst>
            <a:ext uri="{FF2B5EF4-FFF2-40B4-BE49-F238E27FC236}">
              <a16:creationId xmlns:a16="http://schemas.microsoft.com/office/drawing/2014/main" id="{00000000-0008-0000-01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262890"/>
          <a:ext cx="990600" cy="6934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absolute">
    <xdr:from>
      <xdr:col>13</xdr:col>
      <xdr:colOff>104775</xdr:colOff>
      <xdr:row>5</xdr:row>
      <xdr:rowOff>146685</xdr:rowOff>
    </xdr:from>
    <xdr:to>
      <xdr:col>14</xdr:col>
      <xdr:colOff>441960</xdr:colOff>
      <xdr:row>9</xdr:row>
      <xdr:rowOff>78105</xdr:rowOff>
    </xdr:to>
    <xdr:pic macro="[0]!cfx">
      <xdr:nvPicPr>
        <xdr:cNvPr id="1188" name="Рисунок 1">
          <a:extLst>
            <a:ext uri="{FF2B5EF4-FFF2-40B4-BE49-F238E27FC236}">
              <a16:creationId xmlns:a16="http://schemas.microsoft.com/office/drawing/2014/main" id="{00000000-0008-0000-01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21880" y="1089660"/>
          <a:ext cx="952500" cy="7010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absolute">
    <xdr:from>
      <xdr:col>13</xdr:col>
      <xdr:colOff>104775</xdr:colOff>
      <xdr:row>10</xdr:row>
      <xdr:rowOff>51435</xdr:rowOff>
    </xdr:from>
    <xdr:to>
      <xdr:col>14</xdr:col>
      <xdr:colOff>503175</xdr:colOff>
      <xdr:row>15</xdr:row>
      <xdr:rowOff>42513</xdr:rowOff>
    </xdr:to>
    <xdr:pic macro="[0]!ABI_3500"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1880" y="1956435"/>
          <a:ext cx="1013715" cy="953103"/>
        </a:xfrm>
        <a:prstGeom prst="rect">
          <a:avLst/>
        </a:prstGeom>
      </xdr:spPr>
    </xdr:pic>
    <xdr:clientData fPrintsWithSheet="0"/>
  </xdr:twoCellAnchor>
  <xdr:twoCellAnchor editAs="absolute">
    <xdr:from>
      <xdr:col>15</xdr:col>
      <xdr:colOff>57150</xdr:colOff>
      <xdr:row>1</xdr:row>
      <xdr:rowOff>85725</xdr:rowOff>
    </xdr:from>
    <xdr:to>
      <xdr:col>17</xdr:col>
      <xdr:colOff>123825</xdr:colOff>
      <xdr:row>5</xdr:row>
      <xdr:rowOff>15150</xdr:rowOff>
    </xdr:to>
    <xdr:pic macro="[0]!frtmanager"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534400" y="276225"/>
          <a:ext cx="704850" cy="681900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476250</xdr:colOff>
      <xdr:row>1</xdr:row>
      <xdr:rowOff>142875</xdr:rowOff>
    </xdr:from>
    <xdr:to>
      <xdr:col>12</xdr:col>
      <xdr:colOff>571500</xdr:colOff>
      <xdr:row>5</xdr:row>
      <xdr:rowOff>110400</xdr:rowOff>
    </xdr:to>
    <xdr:pic macro="[0]!CistData"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515100" y="333375"/>
          <a:ext cx="704850" cy="720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152400</xdr:colOff>
      <xdr:row>1</xdr:row>
      <xdr:rowOff>114300</xdr:rowOff>
    </xdr:from>
    <xdr:to>
      <xdr:col>11</xdr:col>
      <xdr:colOff>160020</xdr:colOff>
      <xdr:row>5</xdr:row>
      <xdr:rowOff>131445</xdr:rowOff>
    </xdr:to>
    <xdr:pic macro="[0]!kontroli"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581650" y="304800"/>
          <a:ext cx="617220" cy="7696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108856</xdr:colOff>
      <xdr:row>0</xdr:row>
      <xdr:rowOff>370931</xdr:rowOff>
    </xdr:from>
    <xdr:to>
      <xdr:col>14</xdr:col>
      <xdr:colOff>451756</xdr:colOff>
      <xdr:row>1</xdr:row>
      <xdr:rowOff>582114</xdr:rowOff>
    </xdr:to>
    <xdr:pic macro="[0]!cfx"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21685" y="370931"/>
          <a:ext cx="952500" cy="7010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oneCell">
    <xdr:from>
      <xdr:col>13</xdr:col>
      <xdr:colOff>81642</xdr:colOff>
      <xdr:row>2</xdr:row>
      <xdr:rowOff>195943</xdr:rowOff>
    </xdr:from>
    <xdr:to>
      <xdr:col>14</xdr:col>
      <xdr:colOff>485757</xdr:colOff>
      <xdr:row>3</xdr:row>
      <xdr:rowOff>324452</xdr:rowOff>
    </xdr:to>
    <xdr:pic macro="[0]!ABI_3500"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4471" y="1306286"/>
          <a:ext cx="1013715" cy="953103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0"/>
  <dimension ref="A1:Q30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2" sqref="E2"/>
    </sheetView>
  </sheetViews>
  <sheetFormatPr defaultRowHeight="15" x14ac:dyDescent="0.25"/>
  <cols>
    <col min="1" max="1" width="3" bestFit="1" customWidth="1"/>
    <col min="2" max="3" width="7.5703125" bestFit="1" customWidth="1"/>
    <col min="4" max="4" width="9.7109375" bestFit="1" customWidth="1"/>
    <col min="5" max="5" width="7.7109375" bestFit="1" customWidth="1"/>
    <col min="6" max="6" width="11" bestFit="1" customWidth="1"/>
    <col min="9" max="9" width="8.140625" bestFit="1" customWidth="1"/>
    <col min="10" max="10" width="2.28515625" bestFit="1" customWidth="1"/>
    <col min="11" max="11" width="10.28515625" bestFit="1" customWidth="1"/>
    <col min="12" max="12" width="2.140625" bestFit="1" customWidth="1"/>
    <col min="13" max="13" width="6" bestFit="1" customWidth="1"/>
    <col min="14" max="14" width="3" bestFit="1" customWidth="1"/>
    <col min="15" max="15" width="11.28515625" bestFit="1" customWidth="1"/>
    <col min="16" max="16" width="27" customWidth="1"/>
    <col min="17" max="17" width="4" bestFit="1" customWidth="1"/>
  </cols>
  <sheetData>
    <row r="1" spans="1:17" x14ac:dyDescent="0.25">
      <c r="A1" t="s">
        <v>0</v>
      </c>
      <c r="B1" t="s">
        <v>142</v>
      </c>
      <c r="C1" t="s">
        <v>143</v>
      </c>
      <c r="D1" t="s">
        <v>148</v>
      </c>
      <c r="E1" t="s">
        <v>147</v>
      </c>
      <c r="G1" s="6" t="s">
        <v>139</v>
      </c>
      <c r="H1" s="2">
        <v>48</v>
      </c>
      <c r="I1" t="s">
        <v>144</v>
      </c>
      <c r="J1" t="s">
        <v>1</v>
      </c>
      <c r="K1" t="s">
        <v>145</v>
      </c>
      <c r="L1" t="s">
        <v>2</v>
      </c>
      <c r="M1" s="7" t="s">
        <v>146</v>
      </c>
      <c r="N1" s="2">
        <v>8</v>
      </c>
      <c r="O1" s="7" t="s">
        <v>11</v>
      </c>
      <c r="P1" s="2" t="s">
        <v>150</v>
      </c>
      <c r="Q1" s="14">
        <f>ROUNDUP(SUMPRODUCT((D2:E338&lt;&gt;"")*1)*2/N1,0)*N1</f>
        <v>192</v>
      </c>
    </row>
    <row r="2" spans="1:17" ht="14.45" x14ac:dyDescent="0.3">
      <c r="A2" s="18">
        <v>1</v>
      </c>
      <c r="B2" s="18">
        <v>34</v>
      </c>
      <c r="C2" s="12">
        <f t="shared" ref="C2:C49" si="0">B2</f>
        <v>34</v>
      </c>
      <c r="D2" s="12" t="str">
        <f t="shared" ref="D2:D49" si="1">IF(B2&lt;&gt;"_",B2&amp;"-"&amp;B2,"")</f>
        <v>34-34</v>
      </c>
      <c r="E2" s="12">
        <f t="shared" ref="E2:E49" si="2">IF(C2&lt;&gt;"_",C2,"")</f>
        <v>34</v>
      </c>
    </row>
    <row r="3" spans="1:17" ht="14.45" x14ac:dyDescent="0.3">
      <c r="A3" s="12">
        <f t="shared" ref="A3:A49" si="3">A2+1</f>
        <v>2</v>
      </c>
      <c r="B3" s="12">
        <f t="shared" ref="B3:B49" si="4">B2+1</f>
        <v>35</v>
      </c>
      <c r="C3" s="12">
        <f t="shared" si="0"/>
        <v>35</v>
      </c>
      <c r="D3" s="12" t="str">
        <f t="shared" si="1"/>
        <v>35-35</v>
      </c>
      <c r="E3" s="12">
        <f t="shared" si="2"/>
        <v>35</v>
      </c>
    </row>
    <row r="4" spans="1:17" ht="14.45" x14ac:dyDescent="0.3">
      <c r="A4" s="12">
        <f t="shared" si="3"/>
        <v>3</v>
      </c>
      <c r="B4" s="12">
        <f t="shared" si="4"/>
        <v>36</v>
      </c>
      <c r="C4" s="12">
        <f t="shared" si="0"/>
        <v>36</v>
      </c>
      <c r="D4" s="12" t="str">
        <f t="shared" si="1"/>
        <v>36-36</v>
      </c>
      <c r="E4" s="12">
        <f t="shared" si="2"/>
        <v>36</v>
      </c>
    </row>
    <row r="5" spans="1:17" ht="14.45" x14ac:dyDescent="0.3">
      <c r="A5" s="12">
        <f t="shared" si="3"/>
        <v>4</v>
      </c>
      <c r="B5" s="12">
        <f t="shared" si="4"/>
        <v>37</v>
      </c>
      <c r="C5" s="12">
        <f t="shared" si="0"/>
        <v>37</v>
      </c>
      <c r="D5" s="12" t="str">
        <f t="shared" si="1"/>
        <v>37-37</v>
      </c>
      <c r="E5" s="12">
        <f t="shared" si="2"/>
        <v>37</v>
      </c>
    </row>
    <row r="6" spans="1:17" ht="14.45" x14ac:dyDescent="0.3">
      <c r="A6" s="12">
        <f t="shared" si="3"/>
        <v>5</v>
      </c>
      <c r="B6" s="12">
        <f t="shared" si="4"/>
        <v>38</v>
      </c>
      <c r="C6" s="12">
        <f t="shared" si="0"/>
        <v>38</v>
      </c>
      <c r="D6" s="12" t="str">
        <f t="shared" si="1"/>
        <v>38-38</v>
      </c>
      <c r="E6" s="12">
        <f t="shared" si="2"/>
        <v>38</v>
      </c>
    </row>
    <row r="7" spans="1:17" ht="14.45" x14ac:dyDescent="0.3">
      <c r="A7" s="12">
        <f t="shared" si="3"/>
        <v>6</v>
      </c>
      <c r="B7" s="12">
        <f t="shared" si="4"/>
        <v>39</v>
      </c>
      <c r="C7" s="12">
        <f t="shared" si="0"/>
        <v>39</v>
      </c>
      <c r="D7" s="12" t="str">
        <f t="shared" si="1"/>
        <v>39-39</v>
      </c>
      <c r="E7" s="12">
        <f t="shared" si="2"/>
        <v>39</v>
      </c>
    </row>
    <row r="8" spans="1:17" ht="14.45" x14ac:dyDescent="0.3">
      <c r="A8" s="12">
        <f t="shared" si="3"/>
        <v>7</v>
      </c>
      <c r="B8" s="12">
        <f t="shared" si="4"/>
        <v>40</v>
      </c>
      <c r="C8" s="12">
        <f t="shared" si="0"/>
        <v>40</v>
      </c>
      <c r="D8" s="12" t="str">
        <f t="shared" si="1"/>
        <v>40-40</v>
      </c>
      <c r="E8" s="12">
        <f t="shared" si="2"/>
        <v>40</v>
      </c>
    </row>
    <row r="9" spans="1:17" ht="14.45" x14ac:dyDescent="0.3">
      <c r="A9" s="12">
        <f t="shared" si="3"/>
        <v>8</v>
      </c>
      <c r="B9" s="12">
        <f t="shared" si="4"/>
        <v>41</v>
      </c>
      <c r="C9" s="12">
        <f t="shared" si="0"/>
        <v>41</v>
      </c>
      <c r="D9" s="12" t="str">
        <f t="shared" si="1"/>
        <v>41-41</v>
      </c>
      <c r="E9" s="12">
        <f t="shared" si="2"/>
        <v>41</v>
      </c>
    </row>
    <row r="10" spans="1:17" ht="14.45" x14ac:dyDescent="0.3">
      <c r="A10" s="12">
        <f t="shared" si="3"/>
        <v>9</v>
      </c>
      <c r="B10" s="12">
        <f t="shared" si="4"/>
        <v>42</v>
      </c>
      <c r="C10" s="12">
        <f t="shared" si="0"/>
        <v>42</v>
      </c>
      <c r="D10" s="12" t="str">
        <f t="shared" si="1"/>
        <v>42-42</v>
      </c>
      <c r="E10" s="12">
        <f t="shared" si="2"/>
        <v>42</v>
      </c>
    </row>
    <row r="11" spans="1:17" ht="14.45" x14ac:dyDescent="0.3">
      <c r="A11" s="12">
        <f t="shared" si="3"/>
        <v>10</v>
      </c>
      <c r="B11" s="12">
        <f t="shared" si="4"/>
        <v>43</v>
      </c>
      <c r="C11" s="12">
        <f t="shared" si="0"/>
        <v>43</v>
      </c>
      <c r="D11" s="12" t="str">
        <f t="shared" si="1"/>
        <v>43-43</v>
      </c>
      <c r="E11" s="12">
        <f t="shared" si="2"/>
        <v>43</v>
      </c>
    </row>
    <row r="12" spans="1:17" ht="14.45" x14ac:dyDescent="0.3">
      <c r="A12" s="12">
        <f t="shared" si="3"/>
        <v>11</v>
      </c>
      <c r="B12" s="12">
        <f t="shared" si="4"/>
        <v>44</v>
      </c>
      <c r="C12" s="12">
        <f t="shared" si="0"/>
        <v>44</v>
      </c>
      <c r="D12" s="12" t="str">
        <f t="shared" si="1"/>
        <v>44-44</v>
      </c>
      <c r="E12" s="12">
        <f t="shared" si="2"/>
        <v>44</v>
      </c>
    </row>
    <row r="13" spans="1:17" ht="14.45" x14ac:dyDescent="0.3">
      <c r="A13" s="12">
        <f t="shared" si="3"/>
        <v>12</v>
      </c>
      <c r="B13" s="12">
        <f t="shared" si="4"/>
        <v>45</v>
      </c>
      <c r="C13" s="12">
        <f t="shared" si="0"/>
        <v>45</v>
      </c>
      <c r="D13" s="12" t="str">
        <f t="shared" si="1"/>
        <v>45-45</v>
      </c>
      <c r="E13" s="12">
        <f t="shared" si="2"/>
        <v>45</v>
      </c>
    </row>
    <row r="14" spans="1:17" ht="14.45" x14ac:dyDescent="0.3">
      <c r="A14" s="12">
        <f t="shared" si="3"/>
        <v>13</v>
      </c>
      <c r="B14" s="12">
        <f t="shared" si="4"/>
        <v>46</v>
      </c>
      <c r="C14" s="12">
        <f t="shared" si="0"/>
        <v>46</v>
      </c>
      <c r="D14" s="12" t="str">
        <f t="shared" si="1"/>
        <v>46-46</v>
      </c>
      <c r="E14" s="12">
        <f t="shared" si="2"/>
        <v>46</v>
      </c>
    </row>
    <row r="15" spans="1:17" ht="14.45" x14ac:dyDescent="0.3">
      <c r="A15" s="12">
        <f t="shared" si="3"/>
        <v>14</v>
      </c>
      <c r="B15" s="12">
        <f t="shared" si="4"/>
        <v>47</v>
      </c>
      <c r="C15" s="12">
        <f t="shared" si="0"/>
        <v>47</v>
      </c>
      <c r="D15" s="12" t="str">
        <f t="shared" si="1"/>
        <v>47-47</v>
      </c>
      <c r="E15" s="12">
        <f t="shared" si="2"/>
        <v>47</v>
      </c>
    </row>
    <row r="16" spans="1:17" ht="14.45" x14ac:dyDescent="0.3">
      <c r="A16" s="12">
        <f t="shared" si="3"/>
        <v>15</v>
      </c>
      <c r="B16" s="12">
        <f t="shared" si="4"/>
        <v>48</v>
      </c>
      <c r="C16" s="12">
        <f t="shared" si="0"/>
        <v>48</v>
      </c>
      <c r="D16" s="12" t="str">
        <f t="shared" si="1"/>
        <v>48-48</v>
      </c>
      <c r="E16" s="12">
        <f t="shared" si="2"/>
        <v>48</v>
      </c>
    </row>
    <row r="17" spans="1:5" ht="14.45" x14ac:dyDescent="0.3">
      <c r="A17" s="12">
        <f t="shared" si="3"/>
        <v>16</v>
      </c>
      <c r="B17" s="12">
        <f t="shared" si="4"/>
        <v>49</v>
      </c>
      <c r="C17" s="12">
        <f t="shared" si="0"/>
        <v>49</v>
      </c>
      <c r="D17" s="12" t="str">
        <f t="shared" si="1"/>
        <v>49-49</v>
      </c>
      <c r="E17" s="12">
        <f t="shared" si="2"/>
        <v>49</v>
      </c>
    </row>
    <row r="18" spans="1:5" ht="14.45" x14ac:dyDescent="0.3">
      <c r="A18" s="12">
        <f t="shared" si="3"/>
        <v>17</v>
      </c>
      <c r="B18" s="12">
        <f t="shared" si="4"/>
        <v>50</v>
      </c>
      <c r="C18" s="12">
        <f t="shared" si="0"/>
        <v>50</v>
      </c>
      <c r="D18" s="12" t="str">
        <f t="shared" si="1"/>
        <v>50-50</v>
      </c>
      <c r="E18" s="12">
        <f t="shared" si="2"/>
        <v>50</v>
      </c>
    </row>
    <row r="19" spans="1:5" ht="14.45" x14ac:dyDescent="0.3">
      <c r="A19" s="12">
        <f t="shared" si="3"/>
        <v>18</v>
      </c>
      <c r="B19" s="12">
        <f t="shared" si="4"/>
        <v>51</v>
      </c>
      <c r="C19" s="12">
        <f t="shared" si="0"/>
        <v>51</v>
      </c>
      <c r="D19" s="12" t="str">
        <f t="shared" si="1"/>
        <v>51-51</v>
      </c>
      <c r="E19" s="12">
        <f t="shared" si="2"/>
        <v>51</v>
      </c>
    </row>
    <row r="20" spans="1:5" ht="14.45" x14ac:dyDescent="0.3">
      <c r="A20" s="12">
        <f t="shared" si="3"/>
        <v>19</v>
      </c>
      <c r="B20" s="12">
        <f t="shared" si="4"/>
        <v>52</v>
      </c>
      <c r="C20" s="12">
        <f t="shared" si="0"/>
        <v>52</v>
      </c>
      <c r="D20" s="12" t="str">
        <f t="shared" si="1"/>
        <v>52-52</v>
      </c>
      <c r="E20" s="12">
        <f t="shared" si="2"/>
        <v>52</v>
      </c>
    </row>
    <row r="21" spans="1:5" x14ac:dyDescent="0.25">
      <c r="A21" s="12">
        <f t="shared" si="3"/>
        <v>20</v>
      </c>
      <c r="B21" s="12">
        <f t="shared" si="4"/>
        <v>53</v>
      </c>
      <c r="C21" s="12">
        <f t="shared" si="0"/>
        <v>53</v>
      </c>
      <c r="D21" s="12" t="str">
        <f t="shared" si="1"/>
        <v>53-53</v>
      </c>
      <c r="E21" s="12">
        <f t="shared" si="2"/>
        <v>53</v>
      </c>
    </row>
    <row r="22" spans="1:5" x14ac:dyDescent="0.25">
      <c r="A22" s="12">
        <f t="shared" si="3"/>
        <v>21</v>
      </c>
      <c r="B22" s="12">
        <f t="shared" si="4"/>
        <v>54</v>
      </c>
      <c r="C22" s="12">
        <f t="shared" si="0"/>
        <v>54</v>
      </c>
      <c r="D22" s="12" t="str">
        <f t="shared" si="1"/>
        <v>54-54</v>
      </c>
      <c r="E22" s="12">
        <f t="shared" si="2"/>
        <v>54</v>
      </c>
    </row>
    <row r="23" spans="1:5" x14ac:dyDescent="0.25">
      <c r="A23" s="12">
        <f t="shared" si="3"/>
        <v>22</v>
      </c>
      <c r="B23" s="12">
        <f t="shared" si="4"/>
        <v>55</v>
      </c>
      <c r="C23" s="12">
        <f t="shared" si="0"/>
        <v>55</v>
      </c>
      <c r="D23" s="12" t="str">
        <f t="shared" si="1"/>
        <v>55-55</v>
      </c>
      <c r="E23" s="12">
        <f t="shared" si="2"/>
        <v>55</v>
      </c>
    </row>
    <row r="24" spans="1:5" x14ac:dyDescent="0.25">
      <c r="A24" s="12">
        <f t="shared" si="3"/>
        <v>23</v>
      </c>
      <c r="B24" s="12">
        <f t="shared" si="4"/>
        <v>56</v>
      </c>
      <c r="C24" s="12">
        <f t="shared" si="0"/>
        <v>56</v>
      </c>
      <c r="D24" s="12" t="str">
        <f t="shared" si="1"/>
        <v>56-56</v>
      </c>
      <c r="E24" s="12">
        <f t="shared" si="2"/>
        <v>56</v>
      </c>
    </row>
    <row r="25" spans="1:5" x14ac:dyDescent="0.25">
      <c r="A25" s="12">
        <f t="shared" si="3"/>
        <v>24</v>
      </c>
      <c r="B25" s="12">
        <f t="shared" si="4"/>
        <v>57</v>
      </c>
      <c r="C25" s="12">
        <f t="shared" si="0"/>
        <v>57</v>
      </c>
      <c r="D25" s="12" t="str">
        <f t="shared" si="1"/>
        <v>57-57</v>
      </c>
      <c r="E25" s="12">
        <f t="shared" si="2"/>
        <v>57</v>
      </c>
    </row>
    <row r="26" spans="1:5" x14ac:dyDescent="0.25">
      <c r="A26" s="12">
        <f t="shared" si="3"/>
        <v>25</v>
      </c>
      <c r="B26" s="12">
        <f t="shared" si="4"/>
        <v>58</v>
      </c>
      <c r="C26" s="12">
        <f t="shared" si="0"/>
        <v>58</v>
      </c>
      <c r="D26" s="12" t="str">
        <f t="shared" si="1"/>
        <v>58-58</v>
      </c>
      <c r="E26" s="12">
        <f t="shared" si="2"/>
        <v>58</v>
      </c>
    </row>
    <row r="27" spans="1:5" x14ac:dyDescent="0.25">
      <c r="A27" s="12">
        <f t="shared" si="3"/>
        <v>26</v>
      </c>
      <c r="B27" s="12">
        <f t="shared" si="4"/>
        <v>59</v>
      </c>
      <c r="C27" s="12">
        <f t="shared" si="0"/>
        <v>59</v>
      </c>
      <c r="D27" s="12" t="str">
        <f t="shared" si="1"/>
        <v>59-59</v>
      </c>
      <c r="E27" s="12">
        <f t="shared" si="2"/>
        <v>59</v>
      </c>
    </row>
    <row r="28" spans="1:5" x14ac:dyDescent="0.25">
      <c r="A28" s="12">
        <f t="shared" si="3"/>
        <v>27</v>
      </c>
      <c r="B28" s="12">
        <f t="shared" si="4"/>
        <v>60</v>
      </c>
      <c r="C28" s="12">
        <f t="shared" si="0"/>
        <v>60</v>
      </c>
      <c r="D28" s="12" t="str">
        <f t="shared" si="1"/>
        <v>60-60</v>
      </c>
      <c r="E28" s="12">
        <f t="shared" si="2"/>
        <v>60</v>
      </c>
    </row>
    <row r="29" spans="1:5" x14ac:dyDescent="0.25">
      <c r="A29" s="12">
        <f t="shared" si="3"/>
        <v>28</v>
      </c>
      <c r="B29" s="12">
        <f t="shared" si="4"/>
        <v>61</v>
      </c>
      <c r="C29" s="12">
        <f t="shared" si="0"/>
        <v>61</v>
      </c>
      <c r="D29" s="12" t="str">
        <f t="shared" si="1"/>
        <v>61-61</v>
      </c>
      <c r="E29" s="12">
        <f t="shared" si="2"/>
        <v>61</v>
      </c>
    </row>
    <row r="30" spans="1:5" x14ac:dyDescent="0.25">
      <c r="A30" s="12">
        <f t="shared" si="3"/>
        <v>29</v>
      </c>
      <c r="B30" s="12">
        <f t="shared" si="4"/>
        <v>62</v>
      </c>
      <c r="C30" s="12">
        <f t="shared" si="0"/>
        <v>62</v>
      </c>
      <c r="D30" s="12" t="str">
        <f t="shared" si="1"/>
        <v>62-62</v>
      </c>
      <c r="E30" s="12">
        <f t="shared" si="2"/>
        <v>62</v>
      </c>
    </row>
    <row r="31" spans="1:5" x14ac:dyDescent="0.25">
      <c r="A31" s="12">
        <f t="shared" si="3"/>
        <v>30</v>
      </c>
      <c r="B31" s="12">
        <f t="shared" si="4"/>
        <v>63</v>
      </c>
      <c r="C31" s="12">
        <f t="shared" si="0"/>
        <v>63</v>
      </c>
      <c r="D31" s="12" t="str">
        <f t="shared" si="1"/>
        <v>63-63</v>
      </c>
      <c r="E31" s="12">
        <f t="shared" si="2"/>
        <v>63</v>
      </c>
    </row>
    <row r="32" spans="1:5" x14ac:dyDescent="0.25">
      <c r="A32" s="12">
        <f t="shared" si="3"/>
        <v>31</v>
      </c>
      <c r="B32" s="12">
        <f t="shared" si="4"/>
        <v>64</v>
      </c>
      <c r="C32" s="12">
        <f t="shared" si="0"/>
        <v>64</v>
      </c>
      <c r="D32" s="12" t="str">
        <f t="shared" si="1"/>
        <v>64-64</v>
      </c>
      <c r="E32" s="12">
        <f t="shared" si="2"/>
        <v>64</v>
      </c>
    </row>
    <row r="33" spans="1:5" x14ac:dyDescent="0.25">
      <c r="A33" s="12">
        <f t="shared" si="3"/>
        <v>32</v>
      </c>
      <c r="B33" s="12">
        <f t="shared" si="4"/>
        <v>65</v>
      </c>
      <c r="C33" s="12">
        <f t="shared" si="0"/>
        <v>65</v>
      </c>
      <c r="D33" s="12" t="str">
        <f t="shared" si="1"/>
        <v>65-65</v>
      </c>
      <c r="E33" s="12">
        <f t="shared" si="2"/>
        <v>65</v>
      </c>
    </row>
    <row r="34" spans="1:5" x14ac:dyDescent="0.25">
      <c r="A34" s="12">
        <f t="shared" si="3"/>
        <v>33</v>
      </c>
      <c r="B34" s="12">
        <f t="shared" si="4"/>
        <v>66</v>
      </c>
      <c r="C34" s="12">
        <f t="shared" si="0"/>
        <v>66</v>
      </c>
      <c r="D34" s="12" t="str">
        <f t="shared" si="1"/>
        <v>66-66</v>
      </c>
      <c r="E34" s="12">
        <f t="shared" si="2"/>
        <v>66</v>
      </c>
    </row>
    <row r="35" spans="1:5" x14ac:dyDescent="0.25">
      <c r="A35" s="12">
        <f t="shared" si="3"/>
        <v>34</v>
      </c>
      <c r="B35" s="12">
        <f t="shared" si="4"/>
        <v>67</v>
      </c>
      <c r="C35" s="12">
        <f t="shared" si="0"/>
        <v>67</v>
      </c>
      <c r="D35" s="12" t="str">
        <f t="shared" si="1"/>
        <v>67-67</v>
      </c>
      <c r="E35" s="12">
        <f t="shared" si="2"/>
        <v>67</v>
      </c>
    </row>
    <row r="36" spans="1:5" x14ac:dyDescent="0.25">
      <c r="A36" s="12">
        <f t="shared" si="3"/>
        <v>35</v>
      </c>
      <c r="B36" s="12">
        <f t="shared" si="4"/>
        <v>68</v>
      </c>
      <c r="C36" s="12">
        <f t="shared" si="0"/>
        <v>68</v>
      </c>
      <c r="D36" s="12" t="str">
        <f t="shared" si="1"/>
        <v>68-68</v>
      </c>
      <c r="E36" s="12">
        <f t="shared" si="2"/>
        <v>68</v>
      </c>
    </row>
    <row r="37" spans="1:5" x14ac:dyDescent="0.25">
      <c r="A37" s="12">
        <f t="shared" si="3"/>
        <v>36</v>
      </c>
      <c r="B37" s="12">
        <f t="shared" si="4"/>
        <v>69</v>
      </c>
      <c r="C37" s="12">
        <f t="shared" si="0"/>
        <v>69</v>
      </c>
      <c r="D37" s="12" t="str">
        <f t="shared" si="1"/>
        <v>69-69</v>
      </c>
      <c r="E37" s="12">
        <f t="shared" si="2"/>
        <v>69</v>
      </c>
    </row>
    <row r="38" spans="1:5" x14ac:dyDescent="0.25">
      <c r="A38" s="12">
        <f t="shared" si="3"/>
        <v>37</v>
      </c>
      <c r="B38" s="12">
        <f t="shared" si="4"/>
        <v>70</v>
      </c>
      <c r="C38" s="12">
        <f t="shared" si="0"/>
        <v>70</v>
      </c>
      <c r="D38" s="12" t="str">
        <f t="shared" si="1"/>
        <v>70-70</v>
      </c>
      <c r="E38" s="12">
        <f t="shared" si="2"/>
        <v>70</v>
      </c>
    </row>
    <row r="39" spans="1:5" x14ac:dyDescent="0.25">
      <c r="A39" s="12">
        <f t="shared" si="3"/>
        <v>38</v>
      </c>
      <c r="B39" s="12">
        <f t="shared" si="4"/>
        <v>71</v>
      </c>
      <c r="C39" s="12">
        <f t="shared" si="0"/>
        <v>71</v>
      </c>
      <c r="D39" s="12" t="str">
        <f t="shared" si="1"/>
        <v>71-71</v>
      </c>
      <c r="E39" s="12">
        <f t="shared" si="2"/>
        <v>71</v>
      </c>
    </row>
    <row r="40" spans="1:5" x14ac:dyDescent="0.25">
      <c r="A40" s="12">
        <f t="shared" si="3"/>
        <v>39</v>
      </c>
      <c r="B40" s="12">
        <f t="shared" si="4"/>
        <v>72</v>
      </c>
      <c r="C40" s="12">
        <f t="shared" si="0"/>
        <v>72</v>
      </c>
      <c r="D40" s="12" t="str">
        <f t="shared" si="1"/>
        <v>72-72</v>
      </c>
      <c r="E40" s="12">
        <f t="shared" si="2"/>
        <v>72</v>
      </c>
    </row>
    <row r="41" spans="1:5" x14ac:dyDescent="0.25">
      <c r="A41" s="12">
        <f t="shared" si="3"/>
        <v>40</v>
      </c>
      <c r="B41" s="12">
        <f t="shared" si="4"/>
        <v>73</v>
      </c>
      <c r="C41" s="12">
        <f t="shared" si="0"/>
        <v>73</v>
      </c>
      <c r="D41" s="12" t="str">
        <f t="shared" si="1"/>
        <v>73-73</v>
      </c>
      <c r="E41" s="12">
        <f t="shared" si="2"/>
        <v>73</v>
      </c>
    </row>
    <row r="42" spans="1:5" x14ac:dyDescent="0.25">
      <c r="A42" s="12">
        <f t="shared" si="3"/>
        <v>41</v>
      </c>
      <c r="B42" s="12">
        <f t="shared" si="4"/>
        <v>74</v>
      </c>
      <c r="C42" s="12">
        <f t="shared" si="0"/>
        <v>74</v>
      </c>
      <c r="D42" s="12" t="str">
        <f t="shared" si="1"/>
        <v>74-74</v>
      </c>
      <c r="E42" s="12">
        <f t="shared" si="2"/>
        <v>74</v>
      </c>
    </row>
    <row r="43" spans="1:5" x14ac:dyDescent="0.25">
      <c r="A43" s="12">
        <f t="shared" si="3"/>
        <v>42</v>
      </c>
      <c r="B43" s="12">
        <f t="shared" si="4"/>
        <v>75</v>
      </c>
      <c r="C43" s="12">
        <f t="shared" si="0"/>
        <v>75</v>
      </c>
      <c r="D43" s="12" t="str">
        <f t="shared" si="1"/>
        <v>75-75</v>
      </c>
      <c r="E43" s="12">
        <f t="shared" si="2"/>
        <v>75</v>
      </c>
    </row>
    <row r="44" spans="1:5" x14ac:dyDescent="0.25">
      <c r="A44" s="12">
        <f t="shared" si="3"/>
        <v>43</v>
      </c>
      <c r="B44" s="12">
        <f t="shared" si="4"/>
        <v>76</v>
      </c>
      <c r="C44" s="12">
        <f t="shared" si="0"/>
        <v>76</v>
      </c>
      <c r="D44" s="12" t="str">
        <f t="shared" si="1"/>
        <v>76-76</v>
      </c>
      <c r="E44" s="12">
        <f t="shared" si="2"/>
        <v>76</v>
      </c>
    </row>
    <row r="45" spans="1:5" x14ac:dyDescent="0.25">
      <c r="A45" s="12">
        <f t="shared" si="3"/>
        <v>44</v>
      </c>
      <c r="B45" s="12">
        <f t="shared" si="4"/>
        <v>77</v>
      </c>
      <c r="C45" s="12">
        <f t="shared" si="0"/>
        <v>77</v>
      </c>
      <c r="D45" s="12" t="str">
        <f t="shared" si="1"/>
        <v>77-77</v>
      </c>
      <c r="E45" s="12">
        <f t="shared" si="2"/>
        <v>77</v>
      </c>
    </row>
    <row r="46" spans="1:5" x14ac:dyDescent="0.25">
      <c r="A46" s="12">
        <f t="shared" si="3"/>
        <v>45</v>
      </c>
      <c r="B46" s="12">
        <f t="shared" si="4"/>
        <v>78</v>
      </c>
      <c r="C46" s="12">
        <f t="shared" si="0"/>
        <v>78</v>
      </c>
      <c r="D46" s="12" t="str">
        <f t="shared" si="1"/>
        <v>78-78</v>
      </c>
      <c r="E46" s="12">
        <f t="shared" si="2"/>
        <v>78</v>
      </c>
    </row>
    <row r="47" spans="1:5" x14ac:dyDescent="0.25">
      <c r="A47" s="12">
        <f t="shared" si="3"/>
        <v>46</v>
      </c>
      <c r="B47" s="12">
        <f t="shared" si="4"/>
        <v>79</v>
      </c>
      <c r="C47" s="12">
        <f t="shared" si="0"/>
        <v>79</v>
      </c>
      <c r="D47" s="12" t="str">
        <f t="shared" si="1"/>
        <v>79-79</v>
      </c>
      <c r="E47" s="12">
        <f t="shared" si="2"/>
        <v>79</v>
      </c>
    </row>
    <row r="48" spans="1:5" x14ac:dyDescent="0.25">
      <c r="A48" s="12">
        <f t="shared" si="3"/>
        <v>47</v>
      </c>
      <c r="B48" s="12">
        <f t="shared" si="4"/>
        <v>80</v>
      </c>
      <c r="C48" s="12">
        <f t="shared" si="0"/>
        <v>80</v>
      </c>
      <c r="D48" s="12" t="str">
        <f t="shared" si="1"/>
        <v>80-80</v>
      </c>
      <c r="E48" s="12">
        <f t="shared" si="2"/>
        <v>80</v>
      </c>
    </row>
    <row r="49" spans="1:5" x14ac:dyDescent="0.25">
      <c r="A49" s="12">
        <f t="shared" si="3"/>
        <v>48</v>
      </c>
      <c r="B49" s="12">
        <f t="shared" si="4"/>
        <v>81</v>
      </c>
      <c r="C49" s="12">
        <f t="shared" si="0"/>
        <v>81</v>
      </c>
      <c r="D49" s="12" t="str">
        <f t="shared" si="1"/>
        <v>81-81</v>
      </c>
      <c r="E49" s="12">
        <f t="shared" si="2"/>
        <v>81</v>
      </c>
    </row>
    <row r="50" spans="1:5" x14ac:dyDescent="0.25">
      <c r="A50" s="12"/>
      <c r="B50" s="12"/>
      <c r="C50" s="12"/>
      <c r="D50" s="12"/>
      <c r="E50" s="12"/>
    </row>
    <row r="51" spans="1:5" x14ac:dyDescent="0.25">
      <c r="A51" s="12"/>
      <c r="B51" s="12"/>
      <c r="C51" s="12"/>
      <c r="D51" s="12"/>
      <c r="E51" s="12"/>
    </row>
    <row r="52" spans="1:5" x14ac:dyDescent="0.25">
      <c r="A52" s="12"/>
      <c r="B52" s="12"/>
      <c r="C52" s="12"/>
      <c r="D52" s="12"/>
      <c r="E52" s="12"/>
    </row>
    <row r="53" spans="1:5" x14ac:dyDescent="0.25">
      <c r="A53" s="12"/>
      <c r="B53" s="12"/>
      <c r="C53" s="12"/>
      <c r="D53" s="12"/>
      <c r="E53" s="12"/>
    </row>
    <row r="54" spans="1:5" x14ac:dyDescent="0.25">
      <c r="A54" s="12"/>
      <c r="B54" s="12"/>
      <c r="C54" s="12"/>
      <c r="D54" s="12"/>
      <c r="E54" s="12"/>
    </row>
    <row r="55" spans="1:5" x14ac:dyDescent="0.25">
      <c r="A55" s="12"/>
      <c r="B55" s="12"/>
      <c r="C55" s="12"/>
      <c r="D55" s="12"/>
      <c r="E55" s="12"/>
    </row>
    <row r="56" spans="1:5" x14ac:dyDescent="0.25">
      <c r="A56" s="12"/>
      <c r="B56" s="12"/>
      <c r="C56" s="12"/>
      <c r="D56" s="12"/>
      <c r="E56" s="12"/>
    </row>
    <row r="57" spans="1:5" x14ac:dyDescent="0.25">
      <c r="A57" s="12"/>
      <c r="B57" s="12"/>
      <c r="C57" s="12"/>
      <c r="D57" s="12"/>
      <c r="E57" s="12"/>
    </row>
    <row r="58" spans="1:5" x14ac:dyDescent="0.25">
      <c r="A58" s="12"/>
      <c r="B58" s="12"/>
      <c r="C58" s="12"/>
      <c r="D58" s="12"/>
      <c r="E58" s="12"/>
    </row>
    <row r="59" spans="1:5" x14ac:dyDescent="0.25">
      <c r="A59" s="12"/>
      <c r="B59" s="12"/>
      <c r="C59" s="12"/>
      <c r="D59" s="12"/>
      <c r="E59" s="12"/>
    </row>
    <row r="60" spans="1:5" x14ac:dyDescent="0.25">
      <c r="A60" s="12"/>
      <c r="B60" s="12"/>
      <c r="C60" s="12"/>
      <c r="D60" s="12"/>
      <c r="E60" s="12"/>
    </row>
    <row r="61" spans="1:5" x14ac:dyDescent="0.25">
      <c r="A61" s="12"/>
      <c r="B61" s="12"/>
      <c r="C61" s="12"/>
      <c r="D61" s="12"/>
      <c r="E61" s="12"/>
    </row>
    <row r="62" spans="1:5" x14ac:dyDescent="0.25">
      <c r="A62" s="12"/>
      <c r="B62" s="12"/>
      <c r="C62" s="12"/>
      <c r="D62" s="12"/>
      <c r="E62" s="12"/>
    </row>
    <row r="63" spans="1:5" x14ac:dyDescent="0.25">
      <c r="A63" s="12"/>
      <c r="B63" s="12"/>
      <c r="C63" s="12"/>
      <c r="D63" s="12"/>
      <c r="E63" s="12"/>
    </row>
    <row r="64" spans="1:5" x14ac:dyDescent="0.25">
      <c r="A64" s="12"/>
      <c r="B64" s="12"/>
      <c r="C64" s="12"/>
      <c r="D64" s="12"/>
      <c r="E64" s="12"/>
    </row>
    <row r="65" spans="1:5" x14ac:dyDescent="0.25">
      <c r="A65" s="12"/>
      <c r="B65" s="12"/>
      <c r="C65" s="12"/>
      <c r="D65" s="12"/>
      <c r="E65" s="12"/>
    </row>
    <row r="66" spans="1:5" x14ac:dyDescent="0.25">
      <c r="A66" s="12"/>
      <c r="B66" s="12"/>
      <c r="C66" s="12"/>
      <c r="D66" s="12"/>
      <c r="E66" s="12"/>
    </row>
    <row r="67" spans="1:5" x14ac:dyDescent="0.25">
      <c r="A67" s="12"/>
      <c r="B67" s="12"/>
      <c r="C67" s="12"/>
      <c r="D67" s="12"/>
      <c r="E67" s="12"/>
    </row>
    <row r="68" spans="1:5" x14ac:dyDescent="0.25">
      <c r="A68" s="12"/>
      <c r="B68" s="12"/>
      <c r="C68" s="12"/>
      <c r="D68" s="12"/>
      <c r="E68" s="12"/>
    </row>
    <row r="69" spans="1:5" x14ac:dyDescent="0.25">
      <c r="A69" s="12"/>
      <c r="B69" s="12"/>
      <c r="C69" s="12"/>
      <c r="D69" s="12"/>
      <c r="E69" s="12"/>
    </row>
    <row r="70" spans="1:5" x14ac:dyDescent="0.25">
      <c r="A70" s="12"/>
      <c r="B70" s="12"/>
      <c r="C70" s="12"/>
      <c r="D70" s="12"/>
      <c r="E70" s="12"/>
    </row>
    <row r="71" spans="1:5" x14ac:dyDescent="0.25">
      <c r="A71" s="12"/>
      <c r="B71" s="12"/>
      <c r="C71" s="12"/>
      <c r="D71" s="12"/>
      <c r="E71" s="12"/>
    </row>
    <row r="72" spans="1:5" x14ac:dyDescent="0.25">
      <c r="A72" s="12"/>
      <c r="B72" s="12"/>
      <c r="C72" s="12"/>
      <c r="D72" s="12"/>
      <c r="E72" s="12"/>
    </row>
    <row r="73" spans="1:5" x14ac:dyDescent="0.25">
      <c r="A73" s="12"/>
      <c r="B73" s="12"/>
      <c r="C73" s="12"/>
      <c r="D73" s="12"/>
      <c r="E73" s="12"/>
    </row>
    <row r="74" spans="1:5" x14ac:dyDescent="0.25">
      <c r="A74" s="12"/>
      <c r="B74" s="12"/>
      <c r="C74" s="12"/>
      <c r="D74" s="12"/>
      <c r="E74" s="12"/>
    </row>
    <row r="75" spans="1:5" x14ac:dyDescent="0.25">
      <c r="A75" s="12"/>
      <c r="B75" s="12"/>
      <c r="C75" s="12"/>
      <c r="D75" s="12"/>
      <c r="E75" s="12"/>
    </row>
    <row r="76" spans="1:5" x14ac:dyDescent="0.25">
      <c r="A76" s="12"/>
      <c r="B76" s="12"/>
      <c r="C76" s="12"/>
      <c r="D76" s="12"/>
      <c r="E76" s="12"/>
    </row>
    <row r="77" spans="1:5" x14ac:dyDescent="0.25">
      <c r="A77" s="12"/>
      <c r="B77" s="12"/>
      <c r="C77" s="12"/>
      <c r="D77" s="12"/>
      <c r="E77" s="12"/>
    </row>
    <row r="78" spans="1:5" x14ac:dyDescent="0.25">
      <c r="A78" s="12"/>
      <c r="B78" s="12"/>
      <c r="C78" s="12"/>
      <c r="D78" s="12"/>
      <c r="E78" s="12"/>
    </row>
    <row r="79" spans="1:5" x14ac:dyDescent="0.25">
      <c r="A79" s="12"/>
      <c r="B79" s="12"/>
      <c r="C79" s="12"/>
      <c r="D79" s="12"/>
      <c r="E79" s="12"/>
    </row>
    <row r="80" spans="1:5" x14ac:dyDescent="0.25">
      <c r="A80" s="12"/>
      <c r="B80" s="12"/>
      <c r="C80" s="12"/>
      <c r="D80" s="12"/>
      <c r="E80" s="12"/>
    </row>
    <row r="81" spans="1:5" x14ac:dyDescent="0.25">
      <c r="A81" s="12"/>
      <c r="B81" s="12"/>
      <c r="C81" s="12"/>
      <c r="D81" s="12"/>
      <c r="E81" s="12"/>
    </row>
    <row r="82" spans="1:5" x14ac:dyDescent="0.25">
      <c r="A82" s="12"/>
      <c r="B82" s="12"/>
      <c r="C82" s="12"/>
      <c r="D82" s="12"/>
      <c r="E82" s="12"/>
    </row>
    <row r="83" spans="1:5" x14ac:dyDescent="0.25">
      <c r="A83" s="12"/>
      <c r="B83" s="12"/>
      <c r="C83" s="12"/>
      <c r="D83" s="12"/>
      <c r="E83" s="12"/>
    </row>
    <row r="84" spans="1:5" x14ac:dyDescent="0.25">
      <c r="A84" s="12"/>
      <c r="B84" s="12"/>
      <c r="C84" s="12"/>
      <c r="D84" s="12"/>
      <c r="E84" s="12"/>
    </row>
    <row r="85" spans="1:5" x14ac:dyDescent="0.25">
      <c r="A85" s="12"/>
      <c r="B85" s="12"/>
      <c r="C85" s="12"/>
      <c r="D85" s="12"/>
      <c r="E85" s="12"/>
    </row>
    <row r="86" spans="1:5" x14ac:dyDescent="0.25">
      <c r="A86" s="12"/>
      <c r="B86" s="12"/>
      <c r="C86" s="12"/>
      <c r="D86" s="12"/>
      <c r="E86" s="12"/>
    </row>
    <row r="87" spans="1:5" x14ac:dyDescent="0.25">
      <c r="A87" s="12"/>
      <c r="B87" s="12"/>
      <c r="C87" s="12"/>
      <c r="D87" s="12"/>
      <c r="E87" s="12"/>
    </row>
    <row r="88" spans="1:5" x14ac:dyDescent="0.25">
      <c r="A88" s="12"/>
      <c r="B88" s="12"/>
      <c r="C88" s="12"/>
      <c r="D88" s="12"/>
      <c r="E88" s="12"/>
    </row>
    <row r="89" spans="1:5" x14ac:dyDescent="0.25">
      <c r="A89" s="12"/>
      <c r="B89" s="12"/>
      <c r="C89" s="12"/>
      <c r="D89" s="12"/>
      <c r="E89" s="12"/>
    </row>
    <row r="90" spans="1:5" x14ac:dyDescent="0.25">
      <c r="A90" s="12"/>
      <c r="B90" s="12"/>
      <c r="C90" s="12"/>
      <c r="D90" s="12"/>
      <c r="E90" s="12"/>
    </row>
    <row r="91" spans="1:5" x14ac:dyDescent="0.25">
      <c r="A91" s="12"/>
      <c r="B91" s="12"/>
      <c r="C91" s="12"/>
      <c r="D91" s="12"/>
      <c r="E91" s="12"/>
    </row>
    <row r="92" spans="1:5" x14ac:dyDescent="0.25">
      <c r="A92" s="12"/>
      <c r="B92" s="12"/>
      <c r="C92" s="12"/>
      <c r="D92" s="12"/>
      <c r="E92" s="12"/>
    </row>
    <row r="93" spans="1:5" x14ac:dyDescent="0.25">
      <c r="A93" s="12"/>
      <c r="B93" s="12"/>
      <c r="C93" s="12"/>
      <c r="D93" s="12"/>
      <c r="E93" s="12"/>
    </row>
    <row r="94" spans="1:5" x14ac:dyDescent="0.25">
      <c r="A94" s="12"/>
      <c r="B94" s="12"/>
      <c r="C94" s="12"/>
      <c r="D94" s="12"/>
      <c r="E94" s="12"/>
    </row>
    <row r="95" spans="1:5" x14ac:dyDescent="0.25">
      <c r="A95" s="12"/>
      <c r="B95" s="12"/>
      <c r="C95" s="12"/>
      <c r="D95" s="12"/>
      <c r="E95" s="12"/>
    </row>
    <row r="96" spans="1:5" x14ac:dyDescent="0.25">
      <c r="A96" s="12"/>
      <c r="B96" s="12"/>
      <c r="C96" s="12"/>
      <c r="D96" s="12"/>
      <c r="E96" s="12"/>
    </row>
    <row r="97" spans="1:5" x14ac:dyDescent="0.25">
      <c r="A97" s="12"/>
      <c r="B97" s="12"/>
      <c r="C97" s="12"/>
      <c r="D97" s="12"/>
      <c r="E97" s="12"/>
    </row>
    <row r="98" spans="1:5" x14ac:dyDescent="0.25">
      <c r="A98" s="12"/>
      <c r="B98" s="12"/>
      <c r="C98" s="12"/>
      <c r="D98" s="12"/>
      <c r="E98" s="12"/>
    </row>
    <row r="99" spans="1:5" x14ac:dyDescent="0.25">
      <c r="A99" s="12"/>
      <c r="B99" s="12"/>
      <c r="C99" s="12"/>
      <c r="D99" s="12"/>
      <c r="E99" s="12"/>
    </row>
    <row r="100" spans="1:5" x14ac:dyDescent="0.25">
      <c r="A100" s="12"/>
      <c r="B100" s="12"/>
      <c r="C100" s="12"/>
      <c r="D100" s="12"/>
      <c r="E100" s="12"/>
    </row>
    <row r="101" spans="1:5" x14ac:dyDescent="0.25">
      <c r="A101" s="12"/>
      <c r="B101" s="12"/>
      <c r="C101" s="12"/>
      <c r="D101" s="12"/>
      <c r="E101" s="12"/>
    </row>
    <row r="102" spans="1:5" x14ac:dyDescent="0.25">
      <c r="A102" s="12"/>
      <c r="B102" s="12"/>
      <c r="C102" s="12"/>
      <c r="D102" s="12"/>
      <c r="E102" s="12"/>
    </row>
    <row r="103" spans="1:5" x14ac:dyDescent="0.25">
      <c r="A103" s="12"/>
      <c r="B103" s="12"/>
      <c r="C103" s="12"/>
      <c r="D103" s="12"/>
      <c r="E103" s="12"/>
    </row>
    <row r="104" spans="1:5" x14ac:dyDescent="0.25">
      <c r="A104" s="12"/>
      <c r="B104" s="12"/>
      <c r="C104" s="12"/>
      <c r="D104" s="12"/>
      <c r="E104" s="12"/>
    </row>
    <row r="105" spans="1:5" x14ac:dyDescent="0.25">
      <c r="A105" s="12"/>
      <c r="B105" s="12"/>
      <c r="C105" s="12"/>
      <c r="D105" s="12"/>
      <c r="E105" s="12"/>
    </row>
    <row r="106" spans="1:5" x14ac:dyDescent="0.25">
      <c r="A106" s="12"/>
      <c r="B106" s="12"/>
      <c r="C106" s="12"/>
      <c r="D106" s="12"/>
      <c r="E106" s="12"/>
    </row>
    <row r="107" spans="1:5" x14ac:dyDescent="0.25">
      <c r="A107" s="12"/>
      <c r="B107" s="12"/>
      <c r="C107" s="12"/>
      <c r="D107" s="12"/>
      <c r="E107" s="12"/>
    </row>
    <row r="108" spans="1:5" x14ac:dyDescent="0.25">
      <c r="A108" s="12"/>
      <c r="B108" s="12"/>
      <c r="C108" s="12"/>
      <c r="D108" s="12"/>
      <c r="E108" s="12"/>
    </row>
    <row r="109" spans="1:5" x14ac:dyDescent="0.25">
      <c r="A109" s="12"/>
      <c r="B109" s="12"/>
      <c r="C109" s="12"/>
      <c r="D109" s="12"/>
      <c r="E109" s="12"/>
    </row>
    <row r="110" spans="1:5" x14ac:dyDescent="0.25">
      <c r="A110" s="12"/>
      <c r="B110" s="12"/>
      <c r="C110" s="12"/>
      <c r="D110" s="12"/>
      <c r="E110" s="12"/>
    </row>
    <row r="111" spans="1:5" x14ac:dyDescent="0.25">
      <c r="A111" s="12"/>
      <c r="B111" s="12"/>
      <c r="C111" s="12"/>
      <c r="D111" s="12"/>
      <c r="E111" s="12"/>
    </row>
    <row r="112" spans="1:5" x14ac:dyDescent="0.25">
      <c r="A112" s="12"/>
      <c r="B112" s="12"/>
      <c r="C112" s="12"/>
      <c r="D112" s="12"/>
      <c r="E112" s="12"/>
    </row>
    <row r="113" spans="1:5" x14ac:dyDescent="0.25">
      <c r="A113" s="12"/>
      <c r="B113" s="12"/>
      <c r="C113" s="12"/>
      <c r="D113" s="12"/>
      <c r="E113" s="12"/>
    </row>
    <row r="114" spans="1:5" x14ac:dyDescent="0.25">
      <c r="A114" s="12"/>
      <c r="B114" s="12"/>
      <c r="C114" s="12"/>
      <c r="D114" s="12"/>
      <c r="E114" s="12"/>
    </row>
    <row r="115" spans="1:5" x14ac:dyDescent="0.25">
      <c r="A115" s="12"/>
      <c r="B115" s="12"/>
      <c r="C115" s="12"/>
      <c r="D115" s="12"/>
      <c r="E115" s="12"/>
    </row>
    <row r="116" spans="1:5" x14ac:dyDescent="0.25">
      <c r="A116" s="12"/>
      <c r="B116" s="12"/>
      <c r="C116" s="12"/>
      <c r="D116" s="12"/>
      <c r="E116" s="12"/>
    </row>
    <row r="117" spans="1:5" x14ac:dyDescent="0.25">
      <c r="A117" s="12"/>
      <c r="B117" s="12"/>
      <c r="C117" s="12"/>
      <c r="D117" s="12"/>
      <c r="E117" s="12"/>
    </row>
    <row r="118" spans="1:5" x14ac:dyDescent="0.25">
      <c r="A118" s="12"/>
      <c r="B118" s="12"/>
      <c r="C118" s="12"/>
      <c r="D118" s="12"/>
      <c r="E118" s="12"/>
    </row>
    <row r="119" spans="1:5" x14ac:dyDescent="0.25">
      <c r="A119" s="12"/>
      <c r="B119" s="12"/>
      <c r="C119" s="12"/>
      <c r="D119" s="12"/>
      <c r="E119" s="12"/>
    </row>
    <row r="120" spans="1:5" x14ac:dyDescent="0.25">
      <c r="A120" s="12"/>
      <c r="B120" s="12"/>
      <c r="C120" s="12"/>
      <c r="D120" s="12"/>
      <c r="E120" s="12"/>
    </row>
    <row r="121" spans="1:5" x14ac:dyDescent="0.25">
      <c r="A121" s="12"/>
      <c r="B121" s="12"/>
      <c r="C121" s="12"/>
      <c r="D121" s="12"/>
      <c r="E121" s="12"/>
    </row>
    <row r="122" spans="1:5" x14ac:dyDescent="0.25">
      <c r="A122" s="12"/>
      <c r="B122" s="12"/>
      <c r="C122" s="12"/>
      <c r="D122" s="12"/>
      <c r="E122" s="12"/>
    </row>
    <row r="123" spans="1:5" x14ac:dyDescent="0.25">
      <c r="A123" s="12"/>
      <c r="B123" s="12"/>
      <c r="C123" s="12"/>
      <c r="D123" s="12"/>
      <c r="E123" s="12"/>
    </row>
    <row r="124" spans="1:5" x14ac:dyDescent="0.25">
      <c r="A124" s="12"/>
      <c r="B124" s="12"/>
      <c r="C124" s="12"/>
      <c r="D124" s="12"/>
      <c r="E124" s="12"/>
    </row>
    <row r="125" spans="1:5" x14ac:dyDescent="0.25">
      <c r="A125" s="12"/>
      <c r="B125" s="12"/>
      <c r="C125" s="12"/>
      <c r="D125" s="12"/>
      <c r="E125" s="12"/>
    </row>
    <row r="126" spans="1:5" x14ac:dyDescent="0.25">
      <c r="A126" s="12"/>
      <c r="B126" s="12"/>
      <c r="C126" s="12"/>
      <c r="D126" s="12"/>
      <c r="E126" s="12"/>
    </row>
    <row r="127" spans="1:5" x14ac:dyDescent="0.25">
      <c r="A127" s="12"/>
      <c r="B127" s="12"/>
      <c r="C127" s="12"/>
      <c r="D127" s="12"/>
      <c r="E127" s="12"/>
    </row>
    <row r="128" spans="1:5" x14ac:dyDescent="0.25">
      <c r="A128" s="12"/>
      <c r="B128" s="12"/>
      <c r="C128" s="12"/>
      <c r="D128" s="12"/>
      <c r="E128" s="12"/>
    </row>
    <row r="129" spans="1:5" x14ac:dyDescent="0.25">
      <c r="A129" s="12"/>
      <c r="B129" s="12"/>
      <c r="C129" s="12"/>
      <c r="D129" s="12"/>
      <c r="E129" s="12"/>
    </row>
    <row r="130" spans="1:5" x14ac:dyDescent="0.25">
      <c r="A130" s="12"/>
      <c r="B130" s="12"/>
      <c r="C130" s="12"/>
      <c r="D130" s="12"/>
      <c r="E130" s="12"/>
    </row>
    <row r="131" spans="1:5" x14ac:dyDescent="0.25">
      <c r="A131" s="12"/>
      <c r="B131" s="12"/>
      <c r="C131" s="12"/>
      <c r="D131" s="12"/>
      <c r="E131" s="12"/>
    </row>
    <row r="132" spans="1:5" x14ac:dyDescent="0.25">
      <c r="A132" s="12"/>
      <c r="B132" s="12"/>
      <c r="C132" s="12"/>
      <c r="D132" s="12"/>
      <c r="E132" s="12"/>
    </row>
    <row r="133" spans="1:5" x14ac:dyDescent="0.25">
      <c r="A133" s="12"/>
      <c r="B133" s="12"/>
      <c r="C133" s="12"/>
      <c r="D133" s="12"/>
      <c r="E133" s="12"/>
    </row>
    <row r="134" spans="1:5" x14ac:dyDescent="0.25">
      <c r="A134" s="12"/>
      <c r="B134" s="12"/>
      <c r="C134" s="12"/>
      <c r="D134" s="12"/>
      <c r="E134" s="12"/>
    </row>
    <row r="135" spans="1:5" x14ac:dyDescent="0.25">
      <c r="A135" s="12"/>
      <c r="B135" s="12"/>
      <c r="C135" s="12"/>
      <c r="D135" s="12"/>
      <c r="E135" s="12"/>
    </row>
    <row r="136" spans="1:5" x14ac:dyDescent="0.25">
      <c r="A136" s="12"/>
      <c r="B136" s="12"/>
      <c r="C136" s="12"/>
      <c r="D136" s="12"/>
      <c r="E136" s="12"/>
    </row>
    <row r="137" spans="1:5" x14ac:dyDescent="0.25">
      <c r="A137" s="12"/>
      <c r="B137" s="12"/>
      <c r="C137" s="12"/>
      <c r="D137" s="12"/>
      <c r="E137" s="12"/>
    </row>
    <row r="138" spans="1:5" x14ac:dyDescent="0.25">
      <c r="A138" s="12"/>
      <c r="B138" s="12"/>
      <c r="C138" s="12"/>
      <c r="D138" s="12"/>
      <c r="E138" s="12"/>
    </row>
    <row r="139" spans="1:5" x14ac:dyDescent="0.25">
      <c r="A139" s="12"/>
      <c r="B139" s="12"/>
      <c r="C139" s="12"/>
      <c r="D139" s="12"/>
      <c r="E139" s="12"/>
    </row>
    <row r="140" spans="1:5" x14ac:dyDescent="0.25">
      <c r="A140" s="12"/>
      <c r="B140" s="12"/>
      <c r="C140" s="12"/>
      <c r="D140" s="12"/>
      <c r="E140" s="12"/>
    </row>
    <row r="141" spans="1:5" x14ac:dyDescent="0.25">
      <c r="A141" s="12"/>
      <c r="B141" s="12"/>
      <c r="C141" s="12"/>
      <c r="D141" s="12"/>
      <c r="E141" s="12"/>
    </row>
    <row r="142" spans="1:5" x14ac:dyDescent="0.25">
      <c r="A142" s="12"/>
      <c r="B142" s="12"/>
      <c r="C142" s="12"/>
      <c r="D142" s="12"/>
      <c r="E142" s="12"/>
    </row>
    <row r="143" spans="1:5" x14ac:dyDescent="0.25">
      <c r="A143" s="12"/>
      <c r="B143" s="12"/>
      <c r="C143" s="12"/>
      <c r="D143" s="12"/>
      <c r="E143" s="12"/>
    </row>
    <row r="144" spans="1:5" x14ac:dyDescent="0.25">
      <c r="A144" s="12"/>
      <c r="B144" s="12"/>
      <c r="C144" s="12"/>
      <c r="D144" s="12"/>
      <c r="E144" s="12"/>
    </row>
    <row r="145" spans="1:5" x14ac:dyDescent="0.25">
      <c r="A145" s="12"/>
      <c r="B145" s="12"/>
      <c r="C145" s="12"/>
      <c r="D145" s="12"/>
      <c r="E145" s="12"/>
    </row>
    <row r="146" spans="1:5" x14ac:dyDescent="0.25">
      <c r="A146" s="12"/>
      <c r="B146" s="12"/>
      <c r="C146" s="12"/>
      <c r="D146" s="12"/>
      <c r="E146" s="12"/>
    </row>
    <row r="147" spans="1:5" x14ac:dyDescent="0.25">
      <c r="A147" s="12"/>
      <c r="B147" s="12"/>
      <c r="C147" s="12"/>
      <c r="D147" s="12"/>
      <c r="E147" s="12"/>
    </row>
    <row r="148" spans="1:5" x14ac:dyDescent="0.25">
      <c r="A148" s="12"/>
      <c r="B148" s="12"/>
      <c r="C148" s="12"/>
      <c r="D148" s="12"/>
      <c r="E148" s="12"/>
    </row>
    <row r="149" spans="1:5" x14ac:dyDescent="0.25">
      <c r="A149" s="12"/>
      <c r="B149" s="12"/>
      <c r="C149" s="12"/>
      <c r="D149" s="12"/>
      <c r="E149" s="12"/>
    </row>
    <row r="150" spans="1:5" x14ac:dyDescent="0.25">
      <c r="A150" s="12"/>
      <c r="B150" s="12"/>
      <c r="C150" s="12"/>
      <c r="D150" s="12"/>
      <c r="E150" s="12"/>
    </row>
    <row r="151" spans="1:5" x14ac:dyDescent="0.25">
      <c r="A151" s="12"/>
      <c r="B151" s="12"/>
      <c r="C151" s="12"/>
      <c r="D151" s="12"/>
      <c r="E151" s="12"/>
    </row>
    <row r="152" spans="1:5" x14ac:dyDescent="0.25">
      <c r="A152" s="12"/>
      <c r="B152" s="12"/>
      <c r="C152" s="12"/>
      <c r="D152" s="12"/>
      <c r="E152" s="12"/>
    </row>
    <row r="153" spans="1:5" x14ac:dyDescent="0.25">
      <c r="A153" s="12"/>
      <c r="B153" s="12"/>
      <c r="C153" s="12"/>
      <c r="D153" s="12"/>
      <c r="E153" s="12"/>
    </row>
    <row r="154" spans="1:5" x14ac:dyDescent="0.25">
      <c r="A154" s="12"/>
      <c r="B154" s="12"/>
      <c r="C154" s="12"/>
      <c r="D154" s="12"/>
      <c r="E154" s="12"/>
    </row>
    <row r="155" spans="1:5" x14ac:dyDescent="0.25">
      <c r="A155" s="12"/>
      <c r="B155" s="12"/>
      <c r="C155" s="12"/>
      <c r="D155" s="12"/>
      <c r="E155" s="12"/>
    </row>
    <row r="156" spans="1:5" x14ac:dyDescent="0.25">
      <c r="A156" s="12"/>
      <c r="B156" s="12"/>
      <c r="C156" s="12"/>
      <c r="D156" s="12"/>
      <c r="E156" s="12"/>
    </row>
    <row r="157" spans="1:5" x14ac:dyDescent="0.25">
      <c r="A157" s="12"/>
      <c r="B157" s="12"/>
      <c r="C157" s="12"/>
      <c r="D157" s="12"/>
      <c r="E157" s="12"/>
    </row>
    <row r="158" spans="1:5" x14ac:dyDescent="0.25">
      <c r="A158" s="12"/>
      <c r="B158" s="12"/>
      <c r="C158" s="12"/>
      <c r="D158" s="12"/>
      <c r="E158" s="12"/>
    </row>
    <row r="159" spans="1:5" x14ac:dyDescent="0.25">
      <c r="A159" s="12"/>
      <c r="B159" s="12"/>
      <c r="C159" s="12"/>
      <c r="D159" s="12"/>
      <c r="E159" s="12"/>
    </row>
    <row r="160" spans="1:5" x14ac:dyDescent="0.25">
      <c r="A160" s="12"/>
      <c r="B160" s="12"/>
      <c r="C160" s="12"/>
      <c r="D160" s="12"/>
      <c r="E160" s="12"/>
    </row>
    <row r="161" spans="1:5" x14ac:dyDescent="0.25">
      <c r="A161" s="12"/>
      <c r="B161" s="12"/>
      <c r="C161" s="12"/>
      <c r="D161" s="12"/>
      <c r="E161" s="12"/>
    </row>
    <row r="162" spans="1:5" x14ac:dyDescent="0.25">
      <c r="A162" s="12"/>
      <c r="B162" s="12"/>
      <c r="C162" s="12"/>
      <c r="D162" s="12"/>
      <c r="E162" s="12"/>
    </row>
    <row r="163" spans="1:5" x14ac:dyDescent="0.25">
      <c r="A163" s="12"/>
      <c r="B163" s="12"/>
      <c r="C163" s="12"/>
      <c r="D163" s="12"/>
      <c r="E163" s="12"/>
    </row>
    <row r="164" spans="1:5" x14ac:dyDescent="0.25">
      <c r="A164" s="12"/>
      <c r="B164" s="12"/>
      <c r="C164" s="12"/>
      <c r="D164" s="12"/>
      <c r="E164" s="12"/>
    </row>
    <row r="165" spans="1:5" x14ac:dyDescent="0.25">
      <c r="A165" s="12"/>
      <c r="B165" s="12"/>
      <c r="C165" s="12"/>
      <c r="D165" s="12"/>
      <c r="E165" s="12"/>
    </row>
    <row r="166" spans="1:5" x14ac:dyDescent="0.25">
      <c r="A166" s="12"/>
      <c r="B166" s="12"/>
      <c r="C166" s="12"/>
      <c r="D166" s="12"/>
      <c r="E166" s="12"/>
    </row>
    <row r="167" spans="1:5" x14ac:dyDescent="0.25">
      <c r="A167" s="12"/>
      <c r="B167" s="12"/>
      <c r="C167" s="12"/>
      <c r="D167" s="12"/>
      <c r="E167" s="12"/>
    </row>
    <row r="168" spans="1:5" x14ac:dyDescent="0.25">
      <c r="A168" s="12"/>
      <c r="B168" s="12"/>
      <c r="C168" s="12"/>
      <c r="D168" s="12"/>
      <c r="E168" s="12"/>
    </row>
    <row r="169" spans="1:5" x14ac:dyDescent="0.25">
      <c r="A169" s="12"/>
      <c r="B169" s="12"/>
      <c r="C169" s="12"/>
      <c r="D169" s="12"/>
      <c r="E169" s="12"/>
    </row>
    <row r="170" spans="1:5" x14ac:dyDescent="0.25">
      <c r="A170" s="12"/>
      <c r="B170" s="12"/>
      <c r="C170" s="12"/>
      <c r="D170" s="12"/>
      <c r="E170" s="12"/>
    </row>
    <row r="171" spans="1:5" x14ac:dyDescent="0.25">
      <c r="A171" s="12"/>
      <c r="B171" s="12"/>
      <c r="C171" s="12"/>
      <c r="D171" s="12"/>
      <c r="E171" s="12"/>
    </row>
    <row r="172" spans="1:5" x14ac:dyDescent="0.25">
      <c r="A172" s="12"/>
      <c r="B172" s="12"/>
      <c r="C172" s="12"/>
      <c r="D172" s="12"/>
      <c r="E172" s="12"/>
    </row>
    <row r="173" spans="1:5" x14ac:dyDescent="0.25">
      <c r="A173" s="12"/>
      <c r="B173" s="12"/>
      <c r="C173" s="12"/>
      <c r="D173" s="12"/>
      <c r="E173" s="12"/>
    </row>
    <row r="174" spans="1:5" x14ac:dyDescent="0.25">
      <c r="A174" s="12"/>
      <c r="B174" s="12"/>
      <c r="C174" s="12"/>
      <c r="D174" s="12"/>
      <c r="E174" s="12"/>
    </row>
    <row r="175" spans="1:5" x14ac:dyDescent="0.25">
      <c r="A175" s="12"/>
      <c r="B175" s="12"/>
      <c r="C175" s="12"/>
      <c r="D175" s="12"/>
      <c r="E175" s="12"/>
    </row>
    <row r="176" spans="1:5" x14ac:dyDescent="0.25">
      <c r="A176" s="12"/>
      <c r="B176" s="12"/>
      <c r="C176" s="12"/>
      <c r="D176" s="12"/>
      <c r="E176" s="12"/>
    </row>
    <row r="177" spans="1:5" x14ac:dyDescent="0.25">
      <c r="A177" s="12"/>
      <c r="B177" s="12"/>
      <c r="C177" s="12"/>
      <c r="D177" s="12"/>
      <c r="E177" s="12"/>
    </row>
    <row r="178" spans="1:5" x14ac:dyDescent="0.25">
      <c r="A178" s="12"/>
      <c r="B178" s="12"/>
      <c r="C178" s="12"/>
      <c r="D178" s="12"/>
      <c r="E178" s="12"/>
    </row>
    <row r="179" spans="1:5" x14ac:dyDescent="0.25">
      <c r="A179" s="12"/>
      <c r="B179" s="12"/>
      <c r="C179" s="12"/>
      <c r="D179" s="12"/>
      <c r="E179" s="12"/>
    </row>
    <row r="180" spans="1:5" x14ac:dyDescent="0.25">
      <c r="A180" s="12"/>
      <c r="B180" s="12"/>
      <c r="C180" s="12"/>
      <c r="D180" s="12"/>
      <c r="E180" s="12"/>
    </row>
    <row r="181" spans="1:5" x14ac:dyDescent="0.25">
      <c r="A181" s="12"/>
      <c r="B181" s="12"/>
      <c r="C181" s="12"/>
      <c r="D181" s="12"/>
      <c r="E181" s="12"/>
    </row>
    <row r="182" spans="1:5" x14ac:dyDescent="0.25">
      <c r="A182" s="12"/>
      <c r="B182" s="12"/>
      <c r="C182" s="12"/>
      <c r="D182" s="12"/>
      <c r="E182" s="12"/>
    </row>
    <row r="183" spans="1:5" x14ac:dyDescent="0.25">
      <c r="A183" s="12"/>
      <c r="B183" s="12"/>
      <c r="C183" s="12"/>
      <c r="D183" s="12"/>
      <c r="E183" s="12"/>
    </row>
    <row r="184" spans="1:5" x14ac:dyDescent="0.25">
      <c r="A184" s="12"/>
      <c r="B184" s="12"/>
      <c r="C184" s="12"/>
      <c r="D184" s="12"/>
      <c r="E184" s="12"/>
    </row>
    <row r="185" spans="1:5" x14ac:dyDescent="0.25">
      <c r="A185" s="12"/>
      <c r="B185" s="12"/>
      <c r="C185" s="12"/>
      <c r="D185" s="12"/>
      <c r="E185" s="12"/>
    </row>
    <row r="186" spans="1:5" x14ac:dyDescent="0.25">
      <c r="A186" s="12"/>
      <c r="B186" s="12"/>
      <c r="C186" s="12"/>
      <c r="D186" s="12"/>
      <c r="E186" s="12"/>
    </row>
    <row r="187" spans="1:5" x14ac:dyDescent="0.25">
      <c r="A187" s="12"/>
      <c r="B187" s="12"/>
      <c r="C187" s="12"/>
      <c r="D187" s="12"/>
      <c r="E187" s="12"/>
    </row>
    <row r="188" spans="1:5" x14ac:dyDescent="0.25">
      <c r="A188" s="12"/>
      <c r="B188" s="12"/>
      <c r="C188" s="12"/>
      <c r="D188" s="12"/>
      <c r="E188" s="12"/>
    </row>
    <row r="189" spans="1:5" x14ac:dyDescent="0.25">
      <c r="A189" s="12"/>
      <c r="B189" s="12"/>
      <c r="C189" s="12"/>
      <c r="D189" s="12"/>
      <c r="E189" s="12"/>
    </row>
    <row r="190" spans="1:5" x14ac:dyDescent="0.25">
      <c r="A190" s="12"/>
      <c r="B190" s="12"/>
      <c r="C190" s="12"/>
      <c r="D190" s="12"/>
      <c r="E190" s="12"/>
    </row>
    <row r="191" spans="1:5" x14ac:dyDescent="0.25">
      <c r="A191" s="12"/>
      <c r="B191" s="12"/>
      <c r="C191" s="12"/>
      <c r="D191" s="12"/>
      <c r="E191" s="12"/>
    </row>
    <row r="192" spans="1:5" x14ac:dyDescent="0.25">
      <c r="A192" s="12"/>
      <c r="B192" s="12"/>
      <c r="C192" s="12"/>
      <c r="D192" s="12"/>
      <c r="E192" s="12"/>
    </row>
    <row r="193" spans="1:5" x14ac:dyDescent="0.25">
      <c r="A193" s="12"/>
      <c r="B193" s="12"/>
      <c r="C193" s="12"/>
      <c r="D193" s="12"/>
      <c r="E193" s="12"/>
    </row>
    <row r="194" spans="1:5" x14ac:dyDescent="0.25">
      <c r="A194" s="12"/>
      <c r="B194" s="12"/>
      <c r="C194" s="12"/>
      <c r="D194" s="12"/>
      <c r="E194" s="12"/>
    </row>
    <row r="195" spans="1:5" x14ac:dyDescent="0.25">
      <c r="A195" s="12"/>
      <c r="B195" s="12"/>
      <c r="C195" s="12"/>
      <c r="D195" s="12"/>
      <c r="E195" s="12"/>
    </row>
    <row r="196" spans="1:5" x14ac:dyDescent="0.25">
      <c r="A196" s="12"/>
      <c r="B196" s="12"/>
      <c r="C196" s="12"/>
      <c r="D196" s="12"/>
      <c r="E196" s="12"/>
    </row>
    <row r="197" spans="1:5" x14ac:dyDescent="0.25">
      <c r="A197" s="12"/>
      <c r="B197" s="12"/>
      <c r="C197" s="12"/>
      <c r="D197" s="12"/>
      <c r="E197" s="12"/>
    </row>
    <row r="198" spans="1:5" x14ac:dyDescent="0.25">
      <c r="A198" s="12"/>
      <c r="B198" s="12"/>
      <c r="C198" s="12"/>
      <c r="D198" s="12"/>
      <c r="E198" s="12"/>
    </row>
    <row r="199" spans="1:5" x14ac:dyDescent="0.25">
      <c r="A199" s="12"/>
      <c r="B199" s="12"/>
      <c r="C199" s="12"/>
      <c r="D199" s="12"/>
      <c r="E199" s="12"/>
    </row>
    <row r="200" spans="1:5" x14ac:dyDescent="0.25">
      <c r="A200" s="12"/>
      <c r="B200" s="12"/>
      <c r="C200" s="12"/>
      <c r="D200" s="12"/>
      <c r="E200" s="12"/>
    </row>
    <row r="201" spans="1:5" x14ac:dyDescent="0.25">
      <c r="A201" s="12"/>
      <c r="B201" s="12"/>
      <c r="C201" s="12"/>
      <c r="D201" s="12"/>
      <c r="E201" s="12"/>
    </row>
    <row r="202" spans="1:5" x14ac:dyDescent="0.25">
      <c r="A202" s="12"/>
      <c r="B202" s="12"/>
      <c r="C202" s="12"/>
      <c r="D202" s="12"/>
      <c r="E202" s="12"/>
    </row>
    <row r="203" spans="1:5" x14ac:dyDescent="0.25">
      <c r="A203" s="12"/>
      <c r="B203" s="12"/>
      <c r="C203" s="12"/>
      <c r="D203" s="12"/>
      <c r="E203" s="12"/>
    </row>
    <row r="204" spans="1:5" x14ac:dyDescent="0.25">
      <c r="A204" s="12"/>
      <c r="B204" s="12"/>
      <c r="C204" s="12"/>
      <c r="D204" s="12"/>
      <c r="E204" s="12"/>
    </row>
    <row r="205" spans="1:5" x14ac:dyDescent="0.25">
      <c r="A205" s="12"/>
      <c r="B205" s="12"/>
      <c r="C205" s="12"/>
      <c r="D205" s="12"/>
      <c r="E205" s="12"/>
    </row>
    <row r="206" spans="1:5" x14ac:dyDescent="0.25">
      <c r="A206" s="12"/>
      <c r="B206" s="12"/>
      <c r="C206" s="12"/>
      <c r="D206" s="12"/>
      <c r="E206" s="12"/>
    </row>
    <row r="207" spans="1:5" x14ac:dyDescent="0.25">
      <c r="A207" s="12"/>
      <c r="B207" s="12"/>
      <c r="C207" s="12"/>
      <c r="D207" s="12"/>
      <c r="E207" s="12"/>
    </row>
    <row r="208" spans="1:5" x14ac:dyDescent="0.25">
      <c r="A208" s="12"/>
      <c r="B208" s="12"/>
      <c r="C208" s="12"/>
      <c r="D208" s="12"/>
      <c r="E208" s="12"/>
    </row>
    <row r="209" spans="1:5" x14ac:dyDescent="0.25">
      <c r="A209" s="12"/>
      <c r="B209" s="12"/>
      <c r="C209" s="12"/>
      <c r="D209" s="12"/>
      <c r="E209" s="12"/>
    </row>
    <row r="210" spans="1:5" x14ac:dyDescent="0.25">
      <c r="A210" s="12"/>
      <c r="B210" s="12"/>
      <c r="C210" s="12"/>
      <c r="D210" s="12"/>
      <c r="E210" s="12"/>
    </row>
    <row r="211" spans="1:5" x14ac:dyDescent="0.25">
      <c r="A211" s="12"/>
      <c r="B211" s="12"/>
      <c r="C211" s="12"/>
      <c r="D211" s="12"/>
      <c r="E211" s="12"/>
    </row>
    <row r="212" spans="1:5" x14ac:dyDescent="0.25">
      <c r="A212" s="12"/>
      <c r="B212" s="12"/>
      <c r="C212" s="12"/>
      <c r="D212" s="12"/>
      <c r="E212" s="12"/>
    </row>
    <row r="213" spans="1:5" x14ac:dyDescent="0.25">
      <c r="A213" s="12"/>
      <c r="B213" s="12"/>
      <c r="C213" s="12"/>
      <c r="D213" s="12"/>
      <c r="E213" s="12"/>
    </row>
    <row r="214" spans="1:5" x14ac:dyDescent="0.25">
      <c r="A214" s="12"/>
      <c r="B214" s="12"/>
      <c r="C214" s="12"/>
      <c r="D214" s="12"/>
      <c r="E214" s="12"/>
    </row>
    <row r="215" spans="1:5" x14ac:dyDescent="0.25">
      <c r="A215" s="12"/>
      <c r="B215" s="12"/>
      <c r="C215" s="12"/>
      <c r="D215" s="12"/>
      <c r="E215" s="12"/>
    </row>
    <row r="216" spans="1:5" x14ac:dyDescent="0.25">
      <c r="A216" s="12"/>
      <c r="B216" s="12"/>
      <c r="C216" s="12"/>
      <c r="D216" s="12"/>
      <c r="E216" s="12"/>
    </row>
    <row r="217" spans="1:5" x14ac:dyDescent="0.25">
      <c r="A217" s="12"/>
      <c r="B217" s="12"/>
      <c r="C217" s="12"/>
      <c r="D217" s="12"/>
      <c r="E217" s="12"/>
    </row>
    <row r="218" spans="1:5" x14ac:dyDescent="0.25">
      <c r="A218" s="12"/>
      <c r="B218" s="12"/>
      <c r="C218" s="12"/>
      <c r="D218" s="12"/>
      <c r="E218" s="12"/>
    </row>
    <row r="219" spans="1:5" x14ac:dyDescent="0.25">
      <c r="A219" s="12"/>
      <c r="B219" s="12"/>
      <c r="C219" s="12"/>
      <c r="D219" s="12"/>
      <c r="E219" s="12"/>
    </row>
    <row r="220" spans="1:5" x14ac:dyDescent="0.25">
      <c r="A220" s="12"/>
      <c r="B220" s="12"/>
      <c r="C220" s="12"/>
      <c r="D220" s="12"/>
      <c r="E220" s="12"/>
    </row>
    <row r="221" spans="1:5" x14ac:dyDescent="0.25">
      <c r="A221" s="12"/>
      <c r="B221" s="12"/>
      <c r="C221" s="12"/>
      <c r="D221" s="12"/>
      <c r="E221" s="12"/>
    </row>
    <row r="222" spans="1:5" x14ac:dyDescent="0.25">
      <c r="A222" s="12"/>
      <c r="B222" s="12"/>
      <c r="C222" s="12"/>
      <c r="D222" s="12"/>
      <c r="E222" s="12"/>
    </row>
    <row r="223" spans="1:5" x14ac:dyDescent="0.25">
      <c r="A223" s="12"/>
      <c r="B223" s="12"/>
      <c r="C223" s="12"/>
      <c r="D223" s="12"/>
      <c r="E223" s="12"/>
    </row>
    <row r="224" spans="1:5" x14ac:dyDescent="0.25">
      <c r="A224" s="12"/>
      <c r="B224" s="12"/>
      <c r="C224" s="12"/>
      <c r="D224" s="12"/>
      <c r="E224" s="12"/>
    </row>
    <row r="225" spans="1:5" x14ac:dyDescent="0.25">
      <c r="A225" s="12"/>
      <c r="B225" s="12"/>
      <c r="C225" s="12"/>
      <c r="D225" s="12"/>
      <c r="E225" s="12"/>
    </row>
    <row r="226" spans="1:5" x14ac:dyDescent="0.25">
      <c r="A226" s="12"/>
      <c r="B226" s="12"/>
      <c r="C226" s="12"/>
      <c r="D226" s="12"/>
      <c r="E226" s="12"/>
    </row>
    <row r="227" spans="1:5" x14ac:dyDescent="0.25">
      <c r="A227" s="12"/>
      <c r="B227" s="12"/>
      <c r="C227" s="12"/>
      <c r="D227" s="12"/>
      <c r="E227" s="12"/>
    </row>
    <row r="228" spans="1:5" x14ac:dyDescent="0.25">
      <c r="A228" s="12"/>
      <c r="B228" s="12"/>
      <c r="C228" s="12"/>
      <c r="D228" s="12"/>
      <c r="E228" s="12"/>
    </row>
    <row r="229" spans="1:5" x14ac:dyDescent="0.25">
      <c r="A229" s="12"/>
      <c r="B229" s="12"/>
      <c r="C229" s="12"/>
      <c r="D229" s="12"/>
      <c r="E229" s="12"/>
    </row>
    <row r="230" spans="1:5" x14ac:dyDescent="0.25">
      <c r="A230" s="12"/>
      <c r="B230" s="12"/>
      <c r="C230" s="12"/>
      <c r="D230" s="12"/>
      <c r="E230" s="12"/>
    </row>
    <row r="231" spans="1:5" x14ac:dyDescent="0.25">
      <c r="A231" s="12"/>
      <c r="B231" s="12"/>
      <c r="C231" s="12"/>
      <c r="D231" s="12"/>
      <c r="E231" s="12"/>
    </row>
    <row r="232" spans="1:5" x14ac:dyDescent="0.25">
      <c r="A232" s="12"/>
      <c r="B232" s="12"/>
      <c r="C232" s="12"/>
      <c r="D232" s="12"/>
      <c r="E232" s="12"/>
    </row>
    <row r="233" spans="1:5" x14ac:dyDescent="0.25">
      <c r="A233" s="12"/>
      <c r="B233" s="12"/>
      <c r="C233" s="12"/>
      <c r="D233" s="12"/>
      <c r="E233" s="12"/>
    </row>
    <row r="234" spans="1:5" x14ac:dyDescent="0.25">
      <c r="A234" s="12"/>
      <c r="B234" s="12"/>
      <c r="C234" s="12"/>
      <c r="D234" s="12"/>
      <c r="E234" s="12"/>
    </row>
    <row r="235" spans="1:5" x14ac:dyDescent="0.25">
      <c r="A235" s="12"/>
      <c r="B235" s="12"/>
      <c r="C235" s="12"/>
      <c r="D235" s="12"/>
      <c r="E235" s="12"/>
    </row>
    <row r="236" spans="1:5" x14ac:dyDescent="0.25">
      <c r="A236" s="12"/>
      <c r="B236" s="12"/>
      <c r="C236" s="12"/>
      <c r="D236" s="12"/>
      <c r="E236" s="12"/>
    </row>
    <row r="237" spans="1:5" x14ac:dyDescent="0.25">
      <c r="A237" s="12"/>
      <c r="B237" s="12"/>
      <c r="C237" s="12"/>
      <c r="D237" s="12"/>
      <c r="E237" s="12"/>
    </row>
    <row r="238" spans="1:5" x14ac:dyDescent="0.25">
      <c r="A238" s="12"/>
      <c r="B238" s="12"/>
      <c r="C238" s="12"/>
      <c r="D238" s="12"/>
      <c r="E238" s="12"/>
    </row>
    <row r="239" spans="1:5" x14ac:dyDescent="0.25">
      <c r="A239" s="12"/>
      <c r="B239" s="12"/>
      <c r="C239" s="12"/>
      <c r="D239" s="12"/>
      <c r="E239" s="12"/>
    </row>
    <row r="240" spans="1:5" x14ac:dyDescent="0.25">
      <c r="A240" s="12"/>
      <c r="B240" s="12"/>
      <c r="C240" s="12"/>
      <c r="D240" s="12"/>
      <c r="E240" s="12"/>
    </row>
    <row r="241" spans="1:5" x14ac:dyDescent="0.25">
      <c r="A241" s="12"/>
      <c r="B241" s="12"/>
      <c r="C241" s="12"/>
      <c r="D241" s="12"/>
      <c r="E241" s="12"/>
    </row>
    <row r="242" spans="1:5" x14ac:dyDescent="0.25">
      <c r="A242" s="12"/>
      <c r="B242" s="12"/>
      <c r="C242" s="12"/>
      <c r="D242" s="12"/>
      <c r="E242" s="12"/>
    </row>
    <row r="243" spans="1:5" x14ac:dyDescent="0.25">
      <c r="A243" s="12"/>
      <c r="B243" s="12"/>
      <c r="C243" s="12"/>
      <c r="D243" s="12"/>
      <c r="E243" s="12"/>
    </row>
    <row r="244" spans="1:5" x14ac:dyDescent="0.25">
      <c r="A244" s="12"/>
      <c r="B244" s="12"/>
      <c r="C244" s="12"/>
      <c r="D244" s="12"/>
      <c r="E244" s="12"/>
    </row>
    <row r="245" spans="1:5" x14ac:dyDescent="0.25">
      <c r="A245" s="12"/>
      <c r="B245" s="12"/>
      <c r="C245" s="12"/>
      <c r="D245" s="12"/>
      <c r="E245" s="12"/>
    </row>
    <row r="246" spans="1:5" x14ac:dyDescent="0.25">
      <c r="A246" s="12"/>
      <c r="B246" s="12"/>
      <c r="C246" s="12"/>
      <c r="D246" s="12"/>
      <c r="E246" s="12"/>
    </row>
    <row r="247" spans="1:5" x14ac:dyDescent="0.25">
      <c r="A247" s="12"/>
      <c r="B247" s="12"/>
      <c r="C247" s="12"/>
      <c r="D247" s="12"/>
      <c r="E247" s="12"/>
    </row>
    <row r="248" spans="1:5" x14ac:dyDescent="0.25">
      <c r="A248" s="12"/>
      <c r="B248" s="12"/>
      <c r="C248" s="12"/>
      <c r="D248" s="12"/>
      <c r="E248" s="12"/>
    </row>
    <row r="249" spans="1:5" x14ac:dyDescent="0.25">
      <c r="A249" s="12"/>
      <c r="B249" s="12"/>
      <c r="C249" s="12"/>
      <c r="D249" s="12"/>
      <c r="E249" s="12"/>
    </row>
    <row r="250" spans="1:5" x14ac:dyDescent="0.25">
      <c r="A250" s="12"/>
      <c r="B250" s="12"/>
      <c r="C250" s="12"/>
      <c r="D250" s="12"/>
      <c r="E250" s="12"/>
    </row>
    <row r="251" spans="1:5" x14ac:dyDescent="0.25">
      <c r="A251" s="12"/>
      <c r="B251" s="12"/>
      <c r="C251" s="12"/>
      <c r="D251" s="12"/>
      <c r="E251" s="12"/>
    </row>
    <row r="252" spans="1:5" x14ac:dyDescent="0.25">
      <c r="A252" s="12"/>
      <c r="B252" s="12"/>
      <c r="C252" s="12"/>
      <c r="D252" s="12"/>
      <c r="E252" s="12"/>
    </row>
    <row r="253" spans="1:5" x14ac:dyDescent="0.25">
      <c r="A253" s="12"/>
      <c r="B253" s="12"/>
      <c r="C253" s="12"/>
      <c r="D253" s="12"/>
      <c r="E253" s="12"/>
    </row>
    <row r="254" spans="1:5" x14ac:dyDescent="0.25">
      <c r="A254" s="12"/>
      <c r="B254" s="12"/>
      <c r="C254" s="12"/>
      <c r="D254" s="12"/>
      <c r="E254" s="12"/>
    </row>
    <row r="255" spans="1:5" x14ac:dyDescent="0.25">
      <c r="A255" s="12"/>
      <c r="B255" s="12"/>
      <c r="C255" s="12"/>
      <c r="D255" s="12"/>
      <c r="E255" s="12"/>
    </row>
    <row r="256" spans="1:5" x14ac:dyDescent="0.25">
      <c r="A256" s="12"/>
      <c r="B256" s="12"/>
      <c r="C256" s="12"/>
      <c r="D256" s="12"/>
      <c r="E256" s="12"/>
    </row>
    <row r="257" spans="1:5" x14ac:dyDescent="0.25">
      <c r="A257" s="12"/>
      <c r="B257" s="12"/>
      <c r="C257" s="12"/>
      <c r="D257" s="12"/>
      <c r="E257" s="12"/>
    </row>
    <row r="258" spans="1:5" x14ac:dyDescent="0.25">
      <c r="A258" s="12"/>
      <c r="B258" s="12"/>
      <c r="C258" s="12"/>
      <c r="D258" s="12"/>
      <c r="E258" s="12"/>
    </row>
    <row r="259" spans="1:5" x14ac:dyDescent="0.25">
      <c r="A259" s="12"/>
      <c r="B259" s="12"/>
      <c r="C259" s="12"/>
      <c r="D259" s="12"/>
      <c r="E259" s="12"/>
    </row>
    <row r="260" spans="1:5" x14ac:dyDescent="0.25">
      <c r="A260" s="12"/>
      <c r="B260" s="12"/>
      <c r="C260" s="12"/>
      <c r="D260" s="12"/>
      <c r="E260" s="12"/>
    </row>
    <row r="261" spans="1:5" x14ac:dyDescent="0.25">
      <c r="A261" s="12"/>
      <c r="B261" s="12"/>
      <c r="C261" s="12"/>
      <c r="D261" s="12"/>
      <c r="E261" s="12"/>
    </row>
    <row r="262" spans="1:5" x14ac:dyDescent="0.25">
      <c r="A262" s="12"/>
      <c r="B262" s="12"/>
      <c r="C262" s="12"/>
      <c r="D262" s="12"/>
      <c r="E262" s="12"/>
    </row>
    <row r="263" spans="1:5" x14ac:dyDescent="0.25">
      <c r="A263" s="12"/>
      <c r="B263" s="12"/>
      <c r="C263" s="12"/>
      <c r="D263" s="12"/>
      <c r="E263" s="12"/>
    </row>
    <row r="264" spans="1:5" x14ac:dyDescent="0.25">
      <c r="A264" s="12"/>
      <c r="B264" s="12"/>
      <c r="C264" s="12"/>
      <c r="D264" s="12"/>
      <c r="E264" s="12"/>
    </row>
    <row r="265" spans="1:5" x14ac:dyDescent="0.25">
      <c r="A265" s="12"/>
      <c r="B265" s="12"/>
      <c r="C265" s="12"/>
      <c r="D265" s="12"/>
      <c r="E265" s="12"/>
    </row>
    <row r="266" spans="1:5" x14ac:dyDescent="0.25">
      <c r="A266" s="12"/>
      <c r="B266" s="12"/>
      <c r="C266" s="12"/>
      <c r="D266" s="12"/>
      <c r="E266" s="12"/>
    </row>
    <row r="267" spans="1:5" x14ac:dyDescent="0.25">
      <c r="A267" s="12"/>
      <c r="B267" s="12"/>
      <c r="C267" s="12"/>
      <c r="D267" s="12"/>
      <c r="E267" s="12"/>
    </row>
    <row r="268" spans="1:5" x14ac:dyDescent="0.25">
      <c r="A268" s="12"/>
      <c r="B268" s="12"/>
      <c r="C268" s="12"/>
      <c r="D268" s="12"/>
      <c r="E268" s="12"/>
    </row>
    <row r="269" spans="1:5" x14ac:dyDescent="0.25">
      <c r="A269" s="12"/>
      <c r="B269" s="12"/>
      <c r="C269" s="12"/>
      <c r="D269" s="12"/>
      <c r="E269" s="12"/>
    </row>
    <row r="270" spans="1:5" x14ac:dyDescent="0.25">
      <c r="A270" s="12"/>
      <c r="B270" s="12"/>
      <c r="C270" s="12"/>
      <c r="D270" s="12"/>
      <c r="E270" s="12"/>
    </row>
    <row r="271" spans="1:5" x14ac:dyDescent="0.25">
      <c r="A271" s="12"/>
      <c r="B271" s="12"/>
      <c r="C271" s="12"/>
      <c r="D271" s="12"/>
      <c r="E271" s="12"/>
    </row>
    <row r="272" spans="1:5" x14ac:dyDescent="0.25">
      <c r="A272" s="12"/>
      <c r="B272" s="12"/>
      <c r="C272" s="12"/>
      <c r="D272" s="12"/>
      <c r="E272" s="12"/>
    </row>
    <row r="273" spans="1:5" x14ac:dyDescent="0.25">
      <c r="A273" s="12"/>
      <c r="B273" s="12"/>
      <c r="C273" s="12"/>
      <c r="D273" s="12"/>
      <c r="E273" s="12"/>
    </row>
    <row r="274" spans="1:5" x14ac:dyDescent="0.25">
      <c r="A274" s="12"/>
      <c r="B274" s="12"/>
      <c r="C274" s="12"/>
      <c r="D274" s="12"/>
      <c r="E274" s="12"/>
    </row>
    <row r="275" spans="1:5" x14ac:dyDescent="0.25">
      <c r="A275" s="12"/>
      <c r="B275" s="12"/>
      <c r="C275" s="12"/>
      <c r="D275" s="12"/>
      <c r="E275" s="12"/>
    </row>
    <row r="276" spans="1:5" x14ac:dyDescent="0.25">
      <c r="A276" s="12"/>
      <c r="B276" s="12"/>
      <c r="C276" s="12"/>
      <c r="D276" s="12"/>
      <c r="E276" s="12"/>
    </row>
    <row r="277" spans="1:5" x14ac:dyDescent="0.25">
      <c r="A277" s="12"/>
      <c r="B277" s="12"/>
      <c r="C277" s="12"/>
      <c r="D277" s="12"/>
      <c r="E277" s="12"/>
    </row>
    <row r="278" spans="1:5" x14ac:dyDescent="0.25">
      <c r="A278" s="12"/>
      <c r="B278" s="12"/>
      <c r="C278" s="12"/>
      <c r="D278" s="12"/>
      <c r="E278" s="12"/>
    </row>
    <row r="279" spans="1:5" x14ac:dyDescent="0.25">
      <c r="A279" s="12"/>
      <c r="B279" s="12"/>
      <c r="C279" s="12"/>
      <c r="D279" s="12"/>
      <c r="E279" s="12"/>
    </row>
    <row r="280" spans="1:5" x14ac:dyDescent="0.25">
      <c r="A280" s="12"/>
      <c r="B280" s="12"/>
      <c r="C280" s="12"/>
      <c r="D280" s="12"/>
      <c r="E280" s="12"/>
    </row>
    <row r="281" spans="1:5" x14ac:dyDescent="0.25">
      <c r="A281" s="12"/>
      <c r="B281" s="12"/>
      <c r="C281" s="12"/>
      <c r="D281" s="12"/>
      <c r="E281" s="12"/>
    </row>
    <row r="282" spans="1:5" x14ac:dyDescent="0.25">
      <c r="A282" s="12"/>
      <c r="B282" s="12"/>
      <c r="C282" s="12"/>
      <c r="D282" s="12"/>
      <c r="E282" s="12"/>
    </row>
    <row r="283" spans="1:5" x14ac:dyDescent="0.25">
      <c r="A283" s="12"/>
      <c r="B283" s="12"/>
      <c r="C283" s="12"/>
      <c r="D283" s="12"/>
      <c r="E283" s="12"/>
    </row>
    <row r="284" spans="1:5" x14ac:dyDescent="0.25">
      <c r="A284" s="12"/>
      <c r="B284" s="12"/>
      <c r="C284" s="12"/>
      <c r="D284" s="12"/>
      <c r="E284" s="12"/>
    </row>
    <row r="285" spans="1:5" x14ac:dyDescent="0.25">
      <c r="A285" s="12"/>
      <c r="B285" s="12"/>
      <c r="C285" s="12"/>
      <c r="D285" s="12"/>
      <c r="E285" s="12"/>
    </row>
    <row r="286" spans="1:5" x14ac:dyDescent="0.25">
      <c r="A286" s="12"/>
      <c r="B286" s="12"/>
      <c r="C286" s="12"/>
      <c r="D286" s="12"/>
      <c r="E286" s="12"/>
    </row>
    <row r="287" spans="1:5" x14ac:dyDescent="0.25">
      <c r="A287" s="12"/>
      <c r="B287" s="12"/>
      <c r="C287" s="12"/>
      <c r="D287" s="12"/>
      <c r="E287" s="12"/>
    </row>
    <row r="288" spans="1:5" x14ac:dyDescent="0.25">
      <c r="A288" s="12"/>
      <c r="B288" s="12"/>
      <c r="C288" s="12"/>
      <c r="D288" s="12"/>
      <c r="E288" s="12"/>
    </row>
    <row r="289" spans="1:5" x14ac:dyDescent="0.25">
      <c r="A289" s="12"/>
      <c r="B289" s="12"/>
      <c r="C289" s="12"/>
      <c r="D289" s="12"/>
      <c r="E289" s="12"/>
    </row>
    <row r="290" spans="1:5" x14ac:dyDescent="0.25">
      <c r="A290" s="12"/>
      <c r="B290" s="12"/>
      <c r="C290" s="12"/>
      <c r="D290" s="12"/>
      <c r="E290" s="12"/>
    </row>
    <row r="291" spans="1:5" x14ac:dyDescent="0.25">
      <c r="A291" s="12"/>
      <c r="B291" s="12"/>
      <c r="C291" s="12"/>
      <c r="D291" s="12"/>
      <c r="E291" s="12"/>
    </row>
    <row r="292" spans="1:5" x14ac:dyDescent="0.25">
      <c r="A292" s="12"/>
      <c r="B292" s="12"/>
      <c r="C292" s="12"/>
      <c r="D292" s="12"/>
      <c r="E292" s="12"/>
    </row>
    <row r="293" spans="1:5" x14ac:dyDescent="0.25">
      <c r="A293" s="12"/>
      <c r="B293" s="12"/>
      <c r="C293" s="12"/>
      <c r="D293" s="12"/>
      <c r="E293" s="12"/>
    </row>
    <row r="294" spans="1:5" x14ac:dyDescent="0.25">
      <c r="A294" s="12"/>
      <c r="B294" s="12"/>
      <c r="C294" s="12"/>
      <c r="D294" s="12"/>
      <c r="E294" s="12"/>
    </row>
    <row r="295" spans="1:5" x14ac:dyDescent="0.25">
      <c r="A295" s="12"/>
      <c r="B295" s="12"/>
      <c r="C295" s="12"/>
      <c r="D295" s="12"/>
      <c r="E295" s="12"/>
    </row>
    <row r="296" spans="1:5" x14ac:dyDescent="0.25">
      <c r="A296" s="12"/>
      <c r="B296" s="12"/>
      <c r="C296" s="12"/>
      <c r="D296" s="12"/>
      <c r="E296" s="12"/>
    </row>
    <row r="297" spans="1:5" x14ac:dyDescent="0.25">
      <c r="A297" s="12"/>
      <c r="B297" s="12"/>
      <c r="C297" s="12"/>
      <c r="D297" s="12"/>
      <c r="E297" s="12"/>
    </row>
    <row r="298" spans="1:5" x14ac:dyDescent="0.25">
      <c r="A298" s="12"/>
      <c r="B298" s="12"/>
      <c r="C298" s="12"/>
      <c r="D298" s="12"/>
      <c r="E298" s="12"/>
    </row>
    <row r="299" spans="1:5" x14ac:dyDescent="0.25">
      <c r="A299" s="12"/>
      <c r="B299" s="12"/>
      <c r="C299" s="12"/>
      <c r="D299" s="12"/>
      <c r="E299" s="12"/>
    </row>
    <row r="300" spans="1:5" x14ac:dyDescent="0.25">
      <c r="A300" s="12"/>
      <c r="B300" s="12"/>
      <c r="C300" s="12"/>
      <c r="D300" s="12"/>
      <c r="E300" s="12"/>
    </row>
    <row r="301" spans="1:5" x14ac:dyDescent="0.25">
      <c r="A301" s="12"/>
      <c r="B301" s="12"/>
      <c r="C301" s="12"/>
      <c r="D301" s="12"/>
      <c r="E301" s="12"/>
    </row>
    <row r="302" spans="1:5" x14ac:dyDescent="0.25">
      <c r="A302" s="12"/>
      <c r="B302" s="12"/>
      <c r="C302" s="12"/>
      <c r="D302" s="12"/>
      <c r="E302" s="12"/>
    </row>
    <row r="303" spans="1:5" x14ac:dyDescent="0.25">
      <c r="A303" s="12"/>
      <c r="B303" s="12"/>
      <c r="C303" s="12"/>
      <c r="D303" s="12"/>
      <c r="E303" s="1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1"/>
  <dimension ref="A1:W185"/>
  <sheetViews>
    <sheetView workbookViewId="0">
      <pane ySplit="1" topLeftCell="A59" activePane="bottomLeft" state="frozen"/>
      <selection pane="bottomLeft" activeCell="F97" sqref="F97"/>
    </sheetView>
  </sheetViews>
  <sheetFormatPr defaultRowHeight="15" x14ac:dyDescent="0.25"/>
  <cols>
    <col min="1" max="1" width="3" bestFit="1" customWidth="1"/>
    <col min="2" max="2" width="5.140625" bestFit="1" customWidth="1"/>
    <col min="3" max="3" width="4.7109375" bestFit="1" customWidth="1"/>
    <col min="4" max="4" width="8.140625" bestFit="1" customWidth="1"/>
    <col min="5" max="5" width="7.7109375" customWidth="1"/>
    <col min="6" max="6" width="9.5703125" customWidth="1"/>
    <col min="7" max="7" width="20.140625" customWidth="1"/>
    <col min="8" max="8" width="7.140625" bestFit="1" customWidth="1"/>
    <col min="9" max="9" width="7.140625" customWidth="1"/>
    <col min="10" max="10" width="8.7109375" bestFit="1" customWidth="1"/>
    <col min="16" max="16" width="3" bestFit="1" customWidth="1"/>
    <col min="17" max="17" width="6.5703125" bestFit="1" customWidth="1"/>
    <col min="18" max="18" width="2" bestFit="1" customWidth="1"/>
  </cols>
  <sheetData>
    <row r="1" spans="1:23" x14ac:dyDescent="0.25">
      <c r="A1" s="1" t="s">
        <v>0</v>
      </c>
      <c r="B1" s="1" t="s">
        <v>133</v>
      </c>
      <c r="C1" s="1" t="s">
        <v>134</v>
      </c>
      <c r="D1" s="1" t="s">
        <v>135</v>
      </c>
      <c r="E1" s="1" t="s">
        <v>211</v>
      </c>
      <c r="F1" s="1" t="s">
        <v>149</v>
      </c>
      <c r="G1" s="1" t="s">
        <v>136</v>
      </c>
      <c r="H1" s="1" t="s">
        <v>137</v>
      </c>
      <c r="I1" s="1" t="s">
        <v>138</v>
      </c>
      <c r="J1" s="6" t="s">
        <v>139</v>
      </c>
      <c r="K1" s="2">
        <v>96</v>
      </c>
      <c r="L1" s="8">
        <f>IFERROR(F2/1,IF(MIN(F:F)=0,F2,MIN(F:F)))</f>
        <v>1195</v>
      </c>
      <c r="M1" s="8">
        <f>IF(MAX(F:F)=0,INDEX(F:F,K1+1,1),MAX(F:F))</f>
        <v>1213</v>
      </c>
      <c r="N1" s="7" t="s">
        <v>140</v>
      </c>
      <c r="O1" s="10" t="str">
        <f>IF(P1="23","ГГММДД","YYMMDD")</f>
        <v>ГГММДД</v>
      </c>
      <c r="P1" t="str">
        <f>TEXT("01.02.23","ГГ")</f>
        <v>23</v>
      </c>
      <c r="Q1" s="11" t="s">
        <v>141</v>
      </c>
      <c r="R1">
        <v>1</v>
      </c>
      <c r="U1" t="s">
        <v>161</v>
      </c>
      <c r="V1" t="s">
        <v>210</v>
      </c>
      <c r="W1" t="s">
        <v>215</v>
      </c>
    </row>
    <row r="2" spans="1:23" x14ac:dyDescent="0.25">
      <c r="A2">
        <v>1</v>
      </c>
      <c r="B2">
        <v>1</v>
      </c>
      <c r="C2" t="s">
        <v>1</v>
      </c>
      <c r="D2" s="3">
        <v>45306</v>
      </c>
      <c r="E2" s="21" t="s">
        <v>314</v>
      </c>
      <c r="F2" s="22">
        <v>1195</v>
      </c>
      <c r="G2" s="25" t="str">
        <f>IF(F2="","",IF(AND($R$1=1,NOT(ISERR(YEAR(D2)))),TEXT(D2,"ГГММДД")&amp;"-","")&amp;IF(F2&lt;&gt;"_",IF(LEN(F2)&lt;4,LEFT("00",3-LEN(F2)),"")&amp;F2,""))&amp;IF(E2&lt;&gt;"_", "-"&amp;E2,"")</f>
        <v>240115-1195-p1</v>
      </c>
      <c r="H2" t="str">
        <f>C2&amp;B2</f>
        <v>A1</v>
      </c>
      <c r="I2" t="str">
        <f>C2&amp;IF(LEN(B2)=1,"0"&amp;B2,B2)</f>
        <v>A01</v>
      </c>
      <c r="J2" s="7"/>
      <c r="W2" t="s">
        <v>212</v>
      </c>
    </row>
    <row r="3" spans="1:23" x14ac:dyDescent="0.25">
      <c r="A3">
        <v>2</v>
      </c>
      <c r="B3">
        <v>1</v>
      </c>
      <c r="C3" t="s">
        <v>2</v>
      </c>
      <c r="D3" s="26">
        <f>D2</f>
        <v>45306</v>
      </c>
      <c r="E3" s="21" t="s">
        <v>315</v>
      </c>
      <c r="F3" s="22">
        <v>1195</v>
      </c>
      <c r="G3" s="25" t="str">
        <f>IF(F3="","",IF(AND($R$1=1,NOT(ISERR(YEAR(D3)))),TEXT(D3,"ГГММДД")&amp;"-","")&amp;IF(F3&lt;&gt;"_",IF(LEN(F3)&lt;4,LEFT("00",3-LEN(F3)),"")&amp;F3,""))&amp;IF(E3&lt;&gt;"_", "-"&amp;E3,"")</f>
        <v>240115-1195-p2</v>
      </c>
      <c r="H3" t="str">
        <f>C3&amp;B3</f>
        <v>B1</v>
      </c>
      <c r="I3" t="str">
        <f>C3&amp;IF(LEN(B3)=1,"0"&amp;B3,B3)</f>
        <v>B01</v>
      </c>
      <c r="W3" t="s">
        <v>213</v>
      </c>
    </row>
    <row r="4" spans="1:23" x14ac:dyDescent="0.25">
      <c r="A4">
        <v>3</v>
      </c>
      <c r="B4">
        <v>1</v>
      </c>
      <c r="C4" t="s">
        <v>3</v>
      </c>
      <c r="D4" s="26">
        <f>D3</f>
        <v>45306</v>
      </c>
      <c r="E4" s="21" t="s">
        <v>316</v>
      </c>
      <c r="F4" s="22">
        <v>1195</v>
      </c>
      <c r="G4" s="25" t="str">
        <f>IF(F4="","",IF(AND($R$1=1,NOT(ISERR(YEAR(D4)))),TEXT(D4,"ГГММДД")&amp;"-","")&amp;IF(F4&lt;&gt;"_",IF(LEN(F4)&lt;4,LEFT("00",3-LEN(F4)),"")&amp;F4,""))&amp;IF(E4&lt;&gt;"_", "-"&amp;E4,"")</f>
        <v>240115-1195-r1</v>
      </c>
      <c r="H4" t="str">
        <f>C4&amp;B4</f>
        <v>C1</v>
      </c>
      <c r="I4" t="str">
        <f>C4&amp;IF(LEN(B4)=1,"0"&amp;B4,B4)</f>
        <v>C01</v>
      </c>
      <c r="W4" t="s">
        <v>214</v>
      </c>
    </row>
    <row r="5" spans="1:23" x14ac:dyDescent="0.25">
      <c r="A5">
        <v>4</v>
      </c>
      <c r="B5">
        <v>1</v>
      </c>
      <c r="C5" t="s">
        <v>4</v>
      </c>
      <c r="D5" s="26">
        <f>D4</f>
        <v>45306</v>
      </c>
      <c r="E5" s="21" t="s">
        <v>317</v>
      </c>
      <c r="F5" s="22">
        <v>1195</v>
      </c>
      <c r="G5" s="25" t="str">
        <f>IF(F5="","",IF(AND($R$1=1,NOT(ISERR(YEAR(D5)))),TEXT(D5,"ГГММДД")&amp;"-","")&amp;IF(F5&lt;&gt;"_",IF(LEN(F5)&lt;4,LEFT("00",3-LEN(F5)),"")&amp;F5,""))&amp;IF(E5&lt;&gt;"_", "-"&amp;E5,"")</f>
        <v>240115-1195-r2</v>
      </c>
      <c r="H5" t="str">
        <f>C5&amp;B5</f>
        <v>D1</v>
      </c>
      <c r="I5" t="str">
        <f>C5&amp;IF(LEN(B5)=1,"0"&amp;B5,B5)</f>
        <v>D01</v>
      </c>
    </row>
    <row r="6" spans="1:23" x14ac:dyDescent="0.25">
      <c r="A6">
        <v>5</v>
      </c>
      <c r="B6">
        <v>1</v>
      </c>
      <c r="C6" t="s">
        <v>5</v>
      </c>
      <c r="D6" s="26">
        <f>D5</f>
        <v>45306</v>
      </c>
      <c r="E6" s="21" t="s">
        <v>318</v>
      </c>
      <c r="F6" s="22">
        <v>1195</v>
      </c>
      <c r="G6" s="25" t="str">
        <f>IF(F6="","",IF(AND($R$1=1,NOT(ISERR(YEAR(D6)))),TEXT(D6,"ГГММДД")&amp;"-","")&amp;IF(F6&lt;&gt;"_",IF(LEN(F6)&lt;4,LEFT("00",3-LEN(F6)),"")&amp;F6,""))&amp;IF(E6&lt;&gt;"_", "-"&amp;E6,"")</f>
        <v>240115-1195-r3</v>
      </c>
      <c r="H6" t="str">
        <f>C6&amp;B6</f>
        <v>E1</v>
      </c>
      <c r="I6" t="str">
        <f>C6&amp;IF(LEN(B6)=1,"0"&amp;B6,B6)</f>
        <v>E01</v>
      </c>
    </row>
    <row r="7" spans="1:23" x14ac:dyDescent="0.25">
      <c r="A7">
        <v>6</v>
      </c>
      <c r="B7">
        <v>1</v>
      </c>
      <c r="C7" t="s">
        <v>6</v>
      </c>
      <c r="D7" s="26">
        <f>D6</f>
        <v>45306</v>
      </c>
      <c r="E7" s="21" t="s">
        <v>319</v>
      </c>
      <c r="F7" s="22">
        <v>1195</v>
      </c>
      <c r="G7" s="25" t="str">
        <f>IF(F7="","",IF(AND($R$1=1,NOT(ISERR(YEAR(D7)))),TEXT(D7,"ГГММДД")&amp;"-","")&amp;IF(F7&lt;&gt;"_",IF(LEN(F7)&lt;4,LEFT("00",3-LEN(F7)),"")&amp;F7,""))&amp;IF(E7&lt;&gt;"_", "-"&amp;E7,"")</f>
        <v>240115-1195-r4</v>
      </c>
      <c r="H7" t="str">
        <f>C7&amp;B7</f>
        <v>F1</v>
      </c>
      <c r="I7" t="str">
        <f>C7&amp;IF(LEN(B7)=1,"0"&amp;B7,B7)</f>
        <v>F01</v>
      </c>
    </row>
    <row r="8" spans="1:23" x14ac:dyDescent="0.25">
      <c r="A8">
        <v>7</v>
      </c>
      <c r="B8">
        <v>1</v>
      </c>
      <c r="C8" t="s">
        <v>7</v>
      </c>
      <c r="D8" s="26">
        <f>D7</f>
        <v>45306</v>
      </c>
      <c r="E8" s="23" t="s">
        <v>313</v>
      </c>
      <c r="F8" s="22">
        <v>1195</v>
      </c>
      <c r="G8" s="25" t="str">
        <f>IF(F8="","",IF(AND($R$1=1,NOT(ISERR(YEAR(D8)))),TEXT(D8,"ГГММДД")&amp;"-","")&amp;IF(F8&lt;&gt;"_",IF(LEN(F8)&lt;4,LEFT("00",3-LEN(F8)),"")&amp;F8,""))&amp;IF(E8&lt;&gt;"_", "-"&amp;E8,"")</f>
        <v>240115-1195-env-f</v>
      </c>
      <c r="H8" t="str">
        <f>C8&amp;B8</f>
        <v>G1</v>
      </c>
      <c r="I8" t="str">
        <f>C8&amp;IF(LEN(B8)=1,"0"&amp;B8,B8)</f>
        <v>G01</v>
      </c>
    </row>
    <row r="9" spans="1:23" x14ac:dyDescent="0.25">
      <c r="A9">
        <v>8</v>
      </c>
      <c r="B9">
        <v>1</v>
      </c>
      <c r="C9" t="s">
        <v>8</v>
      </c>
      <c r="D9" s="26">
        <f>D8</f>
        <v>45306</v>
      </c>
      <c r="E9" s="23" t="s">
        <v>320</v>
      </c>
      <c r="F9" s="22">
        <v>1195</v>
      </c>
      <c r="G9" s="25" t="str">
        <f>IF(F9="","",IF(AND($R$1=1,NOT(ISERR(YEAR(D9)))),TEXT(D9,"ГГММДД")&amp;"-","")&amp;IF(F9&lt;&gt;"_",IF(LEN(F9)&lt;4,LEFT("00",3-LEN(F9)),"")&amp;F9,""))&amp;IF(E9&lt;&gt;"_", "-"&amp;E9,"")</f>
        <v>240115-1195-env-r</v>
      </c>
      <c r="H9" t="str">
        <f>C9&amp;B9</f>
        <v>H1</v>
      </c>
      <c r="I9" t="str">
        <f>C9&amp;IF(LEN(B9)=1,"0"&amp;B9,B9)</f>
        <v>H01</v>
      </c>
    </row>
    <row r="10" spans="1:23" x14ac:dyDescent="0.25">
      <c r="A10">
        <v>9</v>
      </c>
      <c r="B10">
        <v>2</v>
      </c>
      <c r="C10" t="s">
        <v>1</v>
      </c>
      <c r="D10" s="26">
        <f>D9</f>
        <v>45306</v>
      </c>
      <c r="E10" s="21" t="s">
        <v>314</v>
      </c>
      <c r="F10" s="22">
        <v>1198</v>
      </c>
      <c r="G10" s="25" t="str">
        <f>IF(F10="","",IF(AND($R$1=1,NOT(ISERR(YEAR(D10)))),TEXT(D10,"ГГММДД")&amp;"-","")&amp;IF(F10&lt;&gt;"_",IF(LEN(F10)&lt;4,LEFT("00",3-LEN(F10)),"")&amp;F10,""))&amp;IF(E10&lt;&gt;"_", "-"&amp;E10,"")</f>
        <v>240115-1198-p1</v>
      </c>
      <c r="H10" t="str">
        <f>C10&amp;B10</f>
        <v>A2</v>
      </c>
      <c r="I10" t="str">
        <f>C10&amp;IF(LEN(B10)=1,"0"&amp;B10,B10)</f>
        <v>A02</v>
      </c>
    </row>
    <row r="11" spans="1:23" x14ac:dyDescent="0.25">
      <c r="A11">
        <v>10</v>
      </c>
      <c r="B11">
        <v>2</v>
      </c>
      <c r="C11" t="s">
        <v>2</v>
      </c>
      <c r="D11" s="26">
        <f>D10</f>
        <v>45306</v>
      </c>
      <c r="E11" s="21" t="s">
        <v>315</v>
      </c>
      <c r="F11" s="22">
        <v>1198</v>
      </c>
      <c r="G11" s="25" t="str">
        <f>IF(F11="","",IF(AND($R$1=1,NOT(ISERR(YEAR(D11)))),TEXT(D11,"ГГММДД")&amp;"-","")&amp;IF(F11&lt;&gt;"_",IF(LEN(F11)&lt;4,LEFT("00",3-LEN(F11)),"")&amp;F11,""))&amp;IF(E11&lt;&gt;"_", "-"&amp;E11,"")</f>
        <v>240115-1198-p2</v>
      </c>
      <c r="H11" t="str">
        <f>C11&amp;B11</f>
        <v>B2</v>
      </c>
      <c r="I11" t="str">
        <f>C11&amp;IF(LEN(B11)=1,"0"&amp;B11,B11)</f>
        <v>B02</v>
      </c>
    </row>
    <row r="12" spans="1:23" x14ac:dyDescent="0.25">
      <c r="A12">
        <v>11</v>
      </c>
      <c r="B12">
        <v>2</v>
      </c>
      <c r="C12" t="s">
        <v>3</v>
      </c>
      <c r="D12" s="26">
        <f>D11</f>
        <v>45306</v>
      </c>
      <c r="E12" s="21" t="s">
        <v>316</v>
      </c>
      <c r="F12" s="22">
        <v>1198</v>
      </c>
      <c r="G12" s="25" t="str">
        <f>IF(F12="","",IF(AND($R$1=1,NOT(ISERR(YEAR(D12)))),TEXT(D12,"ГГММДД")&amp;"-","")&amp;IF(F12&lt;&gt;"_",IF(LEN(F12)&lt;4,LEFT("00",3-LEN(F12)),"")&amp;F12,""))&amp;IF(E12&lt;&gt;"_", "-"&amp;E12,"")</f>
        <v>240115-1198-r1</v>
      </c>
      <c r="H12" t="str">
        <f>C12&amp;B12</f>
        <v>C2</v>
      </c>
      <c r="I12" t="str">
        <f>C12&amp;IF(LEN(B12)=1,"0"&amp;B12,B12)</f>
        <v>C02</v>
      </c>
    </row>
    <row r="13" spans="1:23" x14ac:dyDescent="0.25">
      <c r="A13">
        <v>12</v>
      </c>
      <c r="B13">
        <v>2</v>
      </c>
      <c r="C13" t="s">
        <v>4</v>
      </c>
      <c r="D13" s="26">
        <f>D12</f>
        <v>45306</v>
      </c>
      <c r="E13" s="21" t="s">
        <v>317</v>
      </c>
      <c r="F13" s="22">
        <v>1198</v>
      </c>
      <c r="G13" s="25" t="str">
        <f>IF(F13="","",IF(AND($R$1=1,NOT(ISERR(YEAR(D13)))),TEXT(D13,"ГГММДД")&amp;"-","")&amp;IF(F13&lt;&gt;"_",IF(LEN(F13)&lt;4,LEFT("00",3-LEN(F13)),"")&amp;F13,""))&amp;IF(E13&lt;&gt;"_", "-"&amp;E13,"")</f>
        <v>240115-1198-r2</v>
      </c>
      <c r="H13" t="str">
        <f>C13&amp;B13</f>
        <v>D2</v>
      </c>
      <c r="I13" t="str">
        <f>C13&amp;IF(LEN(B13)=1,"0"&amp;B13,B13)</f>
        <v>D02</v>
      </c>
    </row>
    <row r="14" spans="1:23" x14ac:dyDescent="0.25">
      <c r="A14">
        <v>13</v>
      </c>
      <c r="B14">
        <v>2</v>
      </c>
      <c r="C14" t="s">
        <v>5</v>
      </c>
      <c r="D14" s="26">
        <f>D13</f>
        <v>45306</v>
      </c>
      <c r="E14" s="21" t="s">
        <v>318</v>
      </c>
      <c r="F14" s="22">
        <v>1198</v>
      </c>
      <c r="G14" s="25" t="str">
        <f>IF(F14="","",IF(AND($R$1=1,NOT(ISERR(YEAR(D14)))),TEXT(D14,"ГГММДД")&amp;"-","")&amp;IF(F14&lt;&gt;"_",IF(LEN(F14)&lt;4,LEFT("00",3-LEN(F14)),"")&amp;F14,""))&amp;IF(E14&lt;&gt;"_", "-"&amp;E14,"")</f>
        <v>240115-1198-r3</v>
      </c>
      <c r="H14" t="str">
        <f>C14&amp;B14</f>
        <v>E2</v>
      </c>
      <c r="I14" t="str">
        <f>C14&amp;IF(LEN(B14)=1,"0"&amp;B14,B14)</f>
        <v>E02</v>
      </c>
    </row>
    <row r="15" spans="1:23" x14ac:dyDescent="0.25">
      <c r="A15">
        <v>14</v>
      </c>
      <c r="B15">
        <v>2</v>
      </c>
      <c r="C15" t="s">
        <v>6</v>
      </c>
      <c r="D15" s="26">
        <f>D14</f>
        <v>45306</v>
      </c>
      <c r="E15" s="21" t="s">
        <v>319</v>
      </c>
      <c r="F15" s="22">
        <v>1198</v>
      </c>
      <c r="G15" s="25" t="str">
        <f>IF(F15="","",IF(AND($R$1=1,NOT(ISERR(YEAR(D15)))),TEXT(D15,"ГГММДД")&amp;"-","")&amp;IF(F15&lt;&gt;"_",IF(LEN(F15)&lt;4,LEFT("00",3-LEN(F15)),"")&amp;F15,""))&amp;IF(E15&lt;&gt;"_", "-"&amp;E15,"")</f>
        <v>240115-1198-r4</v>
      </c>
      <c r="H15" t="str">
        <f>C15&amp;B15</f>
        <v>F2</v>
      </c>
      <c r="I15" t="str">
        <f>C15&amp;IF(LEN(B15)=1,"0"&amp;B15,B15)</f>
        <v>F02</v>
      </c>
    </row>
    <row r="16" spans="1:23" x14ac:dyDescent="0.25">
      <c r="A16">
        <v>15</v>
      </c>
      <c r="B16">
        <v>2</v>
      </c>
      <c r="C16" t="s">
        <v>7</v>
      </c>
      <c r="D16" s="26">
        <f>D15</f>
        <v>45306</v>
      </c>
      <c r="E16" s="23" t="s">
        <v>313</v>
      </c>
      <c r="F16" s="22">
        <v>1198</v>
      </c>
      <c r="G16" s="25" t="str">
        <f>IF(F16="","",IF(AND($R$1=1,NOT(ISERR(YEAR(D16)))),TEXT(D16,"ГГММДД")&amp;"-","")&amp;IF(F16&lt;&gt;"_",IF(LEN(F16)&lt;4,LEFT("00",3-LEN(F16)),"")&amp;F16,""))&amp;IF(E16&lt;&gt;"_", "-"&amp;E16,"")</f>
        <v>240115-1198-env-f</v>
      </c>
      <c r="H16" t="str">
        <f>C16&amp;B16</f>
        <v>G2</v>
      </c>
      <c r="I16" t="str">
        <f>C16&amp;IF(LEN(B16)=1,"0"&amp;B16,B16)</f>
        <v>G02</v>
      </c>
    </row>
    <row r="17" spans="1:13" x14ac:dyDescent="0.25">
      <c r="A17">
        <v>16</v>
      </c>
      <c r="B17">
        <v>2</v>
      </c>
      <c r="C17" t="s">
        <v>8</v>
      </c>
      <c r="D17" s="26">
        <f>D16</f>
        <v>45306</v>
      </c>
      <c r="E17" s="23" t="s">
        <v>320</v>
      </c>
      <c r="F17" s="22">
        <v>1198</v>
      </c>
      <c r="G17" s="25" t="str">
        <f>IF(F17="","",IF(AND($R$1=1,NOT(ISERR(YEAR(D17)))),TEXT(D17,"ГГММДД")&amp;"-","")&amp;IF(F17&lt;&gt;"_",IF(LEN(F17)&lt;4,LEFT("00",3-LEN(F17)),"")&amp;F17,""))&amp;IF(E17&lt;&gt;"_", "-"&amp;E17,"")</f>
        <v>240115-1198-env-r</v>
      </c>
      <c r="H17" t="str">
        <f>C17&amp;B17</f>
        <v>H2</v>
      </c>
      <c r="I17" t="str">
        <f>C17&amp;IF(LEN(B17)=1,"0"&amp;B17,B17)</f>
        <v>H02</v>
      </c>
    </row>
    <row r="18" spans="1:13" x14ac:dyDescent="0.25">
      <c r="A18">
        <v>17</v>
      </c>
      <c r="B18">
        <v>3</v>
      </c>
      <c r="C18" t="s">
        <v>1</v>
      </c>
      <c r="D18" s="26">
        <f>D17</f>
        <v>45306</v>
      </c>
      <c r="E18" s="21" t="s">
        <v>314</v>
      </c>
      <c r="F18" s="22">
        <v>1199</v>
      </c>
      <c r="G18" s="25" t="str">
        <f>IF(F18="","",IF(AND($R$1=1,NOT(ISERR(YEAR(D18)))),TEXT(D18,"ГГММДД")&amp;"-","")&amp;IF(F18&lt;&gt;"_",IF(LEN(F18)&lt;4,LEFT("00",3-LEN(F18)),"")&amp;F18,""))&amp;IF(E18&lt;&gt;"_", "-"&amp;E18,"")</f>
        <v>240115-1199-p1</v>
      </c>
      <c r="H18" t="str">
        <f>C18&amp;B18</f>
        <v>A3</v>
      </c>
      <c r="I18" t="str">
        <f>C18&amp;IF(LEN(B18)=1,"0"&amp;B18,B18)</f>
        <v>A03</v>
      </c>
    </row>
    <row r="19" spans="1:13" x14ac:dyDescent="0.25">
      <c r="A19">
        <v>18</v>
      </c>
      <c r="B19">
        <v>3</v>
      </c>
      <c r="C19" t="s">
        <v>2</v>
      </c>
      <c r="D19" s="26">
        <f>D18</f>
        <v>45306</v>
      </c>
      <c r="E19" s="21" t="s">
        <v>315</v>
      </c>
      <c r="F19" s="22">
        <v>1199</v>
      </c>
      <c r="G19" s="25" t="str">
        <f>IF(F19="","",IF(AND($R$1=1,NOT(ISERR(YEAR(D19)))),TEXT(D19,"ГГММДД")&amp;"-","")&amp;IF(F19&lt;&gt;"_",IF(LEN(F19)&lt;4,LEFT("00",3-LEN(F19)),"")&amp;F19,""))&amp;IF(E19&lt;&gt;"_", "-"&amp;E19,"")</f>
        <v>240115-1199-p2</v>
      </c>
      <c r="H19" t="str">
        <f>C19&amp;B19</f>
        <v>B3</v>
      </c>
      <c r="I19" t="str">
        <f>C19&amp;IF(LEN(B19)=1,"0"&amp;B19,B19)</f>
        <v>B03</v>
      </c>
      <c r="M19" s="19"/>
    </row>
    <row r="20" spans="1:13" x14ac:dyDescent="0.25">
      <c r="A20">
        <v>19</v>
      </c>
      <c r="B20">
        <v>3</v>
      </c>
      <c r="C20" t="s">
        <v>3</v>
      </c>
      <c r="D20" s="26">
        <f>D19</f>
        <v>45306</v>
      </c>
      <c r="E20" s="21" t="s">
        <v>316</v>
      </c>
      <c r="F20" s="22">
        <v>1199</v>
      </c>
      <c r="G20" s="25" t="str">
        <f>IF(F20="","",IF(AND($R$1=1,NOT(ISERR(YEAR(D20)))),TEXT(D20,"ГГММДД")&amp;"-","")&amp;IF(F20&lt;&gt;"_",IF(LEN(F20)&lt;4,LEFT("00",3-LEN(F20)),"")&amp;F20,""))&amp;IF(E20&lt;&gt;"_", "-"&amp;E20,"")</f>
        <v>240115-1199-r1</v>
      </c>
      <c r="H20" t="str">
        <f>C20&amp;B20</f>
        <v>C3</v>
      </c>
      <c r="I20" t="str">
        <f>C20&amp;IF(LEN(B20)=1,"0"&amp;B20,B20)</f>
        <v>C03</v>
      </c>
      <c r="M20" s="19"/>
    </row>
    <row r="21" spans="1:13" x14ac:dyDescent="0.25">
      <c r="A21">
        <v>20</v>
      </c>
      <c r="B21">
        <v>3</v>
      </c>
      <c r="C21" t="s">
        <v>4</v>
      </c>
      <c r="D21" s="26">
        <f>D20</f>
        <v>45306</v>
      </c>
      <c r="E21" s="21" t="s">
        <v>317</v>
      </c>
      <c r="F21" s="22">
        <v>1199</v>
      </c>
      <c r="G21" s="25" t="str">
        <f>IF(F21="","",IF(AND($R$1=1,NOT(ISERR(YEAR(D21)))),TEXT(D21,"ГГММДД")&amp;"-","")&amp;IF(F21&lt;&gt;"_",IF(LEN(F21)&lt;4,LEFT("00",3-LEN(F21)),"")&amp;F21,""))&amp;IF(E21&lt;&gt;"_", "-"&amp;E21,"")</f>
        <v>240115-1199-r2</v>
      </c>
      <c r="H21" t="str">
        <f>C21&amp;B21</f>
        <v>D3</v>
      </c>
      <c r="I21" t="str">
        <f>C21&amp;IF(LEN(B21)=1,"0"&amp;B21,B21)</f>
        <v>D03</v>
      </c>
      <c r="M21" s="19"/>
    </row>
    <row r="22" spans="1:13" x14ac:dyDescent="0.25">
      <c r="A22">
        <v>21</v>
      </c>
      <c r="B22">
        <v>3</v>
      </c>
      <c r="C22" t="s">
        <v>5</v>
      </c>
      <c r="D22" s="26">
        <f>D21</f>
        <v>45306</v>
      </c>
      <c r="E22" s="21" t="s">
        <v>318</v>
      </c>
      <c r="F22" s="22">
        <v>1199</v>
      </c>
      <c r="G22" s="25" t="str">
        <f>IF(F22="","",IF(AND($R$1=1,NOT(ISERR(YEAR(D22)))),TEXT(D22,"ГГММДД")&amp;"-","")&amp;IF(F22&lt;&gt;"_",IF(LEN(F22)&lt;4,LEFT("00",3-LEN(F22)),"")&amp;F22,""))&amp;IF(E22&lt;&gt;"_", "-"&amp;E22,"")</f>
        <v>240115-1199-r3</v>
      </c>
      <c r="H22" t="str">
        <f>C22&amp;B22</f>
        <v>E3</v>
      </c>
      <c r="I22" t="str">
        <f>C22&amp;IF(LEN(B22)=1,"0"&amp;B22,B22)</f>
        <v>E03</v>
      </c>
      <c r="M22" s="19"/>
    </row>
    <row r="23" spans="1:13" x14ac:dyDescent="0.25">
      <c r="A23">
        <v>22</v>
      </c>
      <c r="B23">
        <v>3</v>
      </c>
      <c r="C23" t="s">
        <v>6</v>
      </c>
      <c r="D23" s="26">
        <f>D22</f>
        <v>45306</v>
      </c>
      <c r="E23" s="21" t="s">
        <v>319</v>
      </c>
      <c r="F23" s="22">
        <v>1199</v>
      </c>
      <c r="G23" s="25" t="str">
        <f>IF(F23="","",IF(AND($R$1=1,NOT(ISERR(YEAR(D23)))),TEXT(D23,"ГГММДД")&amp;"-","")&amp;IF(F23&lt;&gt;"_",IF(LEN(F23)&lt;4,LEFT("00",3-LEN(F23)),"")&amp;F23,""))&amp;IF(E23&lt;&gt;"_", "-"&amp;E23,"")</f>
        <v>240115-1199-r4</v>
      </c>
      <c r="H23" t="str">
        <f>C23&amp;B23</f>
        <v>F3</v>
      </c>
      <c r="I23" t="str">
        <f>C23&amp;IF(LEN(B23)=1,"0"&amp;B23,B23)</f>
        <v>F03</v>
      </c>
      <c r="M23" s="20"/>
    </row>
    <row r="24" spans="1:13" x14ac:dyDescent="0.25">
      <c r="A24">
        <v>23</v>
      </c>
      <c r="B24">
        <v>3</v>
      </c>
      <c r="C24" t="s">
        <v>7</v>
      </c>
      <c r="D24" s="26">
        <f>D23</f>
        <v>45306</v>
      </c>
      <c r="E24" s="23" t="s">
        <v>313</v>
      </c>
      <c r="F24" s="22">
        <v>1199</v>
      </c>
      <c r="G24" s="25" t="str">
        <f>IF(F24="","",IF(AND($R$1=1,NOT(ISERR(YEAR(D24)))),TEXT(D24,"ГГММДД")&amp;"-","")&amp;IF(F24&lt;&gt;"_",IF(LEN(F24)&lt;4,LEFT("00",3-LEN(F24)),"")&amp;F24,""))&amp;IF(E24&lt;&gt;"_", "-"&amp;E24,"")</f>
        <v>240115-1199-env-f</v>
      </c>
      <c r="H24" t="str">
        <f>C24&amp;B24</f>
        <v>G3</v>
      </c>
      <c r="I24" t="str">
        <f>C24&amp;IF(LEN(B24)=1,"0"&amp;B24,B24)</f>
        <v>G03</v>
      </c>
    </row>
    <row r="25" spans="1:13" x14ac:dyDescent="0.25">
      <c r="A25">
        <v>24</v>
      </c>
      <c r="B25">
        <v>3</v>
      </c>
      <c r="C25" t="s">
        <v>8</v>
      </c>
      <c r="D25" s="26">
        <f>D24</f>
        <v>45306</v>
      </c>
      <c r="E25" s="23" t="s">
        <v>320</v>
      </c>
      <c r="F25" s="22">
        <v>1199</v>
      </c>
      <c r="G25" s="25" t="str">
        <f>IF(F25="","",IF(AND($R$1=1,NOT(ISERR(YEAR(D25)))),TEXT(D25,"ГГММДД")&amp;"-","")&amp;IF(F25&lt;&gt;"_",IF(LEN(F25)&lt;4,LEFT("00",3-LEN(F25)),"")&amp;F25,""))&amp;IF(E25&lt;&gt;"_", "-"&amp;E25,"")</f>
        <v>240115-1199-env-r</v>
      </c>
      <c r="H25" t="str">
        <f>C25&amp;B25</f>
        <v>H3</v>
      </c>
      <c r="I25" t="str">
        <f>C25&amp;IF(LEN(B25)=1,"0"&amp;B25,B25)</f>
        <v>H03</v>
      </c>
    </row>
    <row r="26" spans="1:13" x14ac:dyDescent="0.25">
      <c r="A26">
        <v>25</v>
      </c>
      <c r="B26">
        <v>4</v>
      </c>
      <c r="C26" t="s">
        <v>1</v>
      </c>
      <c r="D26" s="26">
        <f>D25</f>
        <v>45306</v>
      </c>
      <c r="E26" s="23" t="s">
        <v>313</v>
      </c>
      <c r="F26" s="2">
        <v>1196</v>
      </c>
      <c r="G26" s="25" t="str">
        <f>IF(F26="","",IF(AND($R$1=1,NOT(ISERR(YEAR(D26)))),TEXT(D26,"ГГММДД")&amp;"-","")&amp;IF(F26&lt;&gt;"_",IF(LEN(F26)&lt;4,LEFT("00",3-LEN(F26)),"")&amp;F26,""))&amp;IF(E26&lt;&gt;"_", "-"&amp;E26,"")</f>
        <v>240115-1196-env-f</v>
      </c>
      <c r="H26" t="str">
        <f>C26&amp;B26</f>
        <v>A4</v>
      </c>
      <c r="I26" t="str">
        <f>C26&amp;IF(LEN(B26)=1,"0"&amp;B26,B26)</f>
        <v>A04</v>
      </c>
    </row>
    <row r="27" spans="1:13" x14ac:dyDescent="0.25">
      <c r="A27">
        <v>26</v>
      </c>
      <c r="B27">
        <v>4</v>
      </c>
      <c r="C27" t="s">
        <v>2</v>
      </c>
      <c r="D27" s="26">
        <f>D26</f>
        <v>45306</v>
      </c>
      <c r="E27" s="23" t="s">
        <v>320</v>
      </c>
      <c r="F27" s="2">
        <v>1196</v>
      </c>
      <c r="G27" s="25" t="str">
        <f>IF(F27="","",IF(AND($R$1=1,NOT(ISERR(YEAR(D27)))),TEXT(D27,"ГГММДД")&amp;"-","")&amp;IF(F27&lt;&gt;"_",IF(LEN(F27)&lt;4,LEFT("00",3-LEN(F27)),"")&amp;F27,""))&amp;IF(E27&lt;&gt;"_", "-"&amp;E27,"")</f>
        <v>240115-1196-env-r</v>
      </c>
      <c r="H27" t="str">
        <f>C27&amp;B27</f>
        <v>B4</v>
      </c>
      <c r="I27" t="str">
        <f>C27&amp;IF(LEN(B27)=1,"0"&amp;B27,B27)</f>
        <v>B04</v>
      </c>
    </row>
    <row r="28" spans="1:13" x14ac:dyDescent="0.25">
      <c r="A28">
        <v>27</v>
      </c>
      <c r="B28">
        <v>4</v>
      </c>
      <c r="C28" t="s">
        <v>3</v>
      </c>
      <c r="D28" s="26">
        <f>D27</f>
        <v>45306</v>
      </c>
      <c r="E28" s="23" t="s">
        <v>313</v>
      </c>
      <c r="F28" s="2">
        <v>1197</v>
      </c>
      <c r="G28" s="25" t="str">
        <f>IF(F28="","",IF(AND($R$1=1,NOT(ISERR(YEAR(D28)))),TEXT(D28,"ГГММДД")&amp;"-","")&amp;IF(F28&lt;&gt;"_",IF(LEN(F28)&lt;4,LEFT("00",3-LEN(F28)),"")&amp;F28,""))&amp;IF(E28&lt;&gt;"_", "-"&amp;E28,"")</f>
        <v>240115-1197-env-f</v>
      </c>
      <c r="H28" t="str">
        <f>C28&amp;B28</f>
        <v>C4</v>
      </c>
      <c r="I28" t="str">
        <f>C28&amp;IF(LEN(B28)=1,"0"&amp;B28,B28)</f>
        <v>C04</v>
      </c>
    </row>
    <row r="29" spans="1:13" x14ac:dyDescent="0.25">
      <c r="A29">
        <v>28</v>
      </c>
      <c r="B29">
        <v>4</v>
      </c>
      <c r="C29" t="s">
        <v>4</v>
      </c>
      <c r="D29" s="26">
        <f>D28</f>
        <v>45306</v>
      </c>
      <c r="E29" s="23" t="s">
        <v>320</v>
      </c>
      <c r="F29" s="2">
        <v>1197</v>
      </c>
      <c r="G29" s="25" t="str">
        <f>IF(F29="","",IF(AND($R$1=1,NOT(ISERR(YEAR(D29)))),TEXT(D29,"ГГММДД")&amp;"-","")&amp;IF(F29&lt;&gt;"_",IF(LEN(F29)&lt;4,LEFT("00",3-LEN(F29)),"")&amp;F29,""))&amp;IF(E29&lt;&gt;"_", "-"&amp;E29,"")</f>
        <v>240115-1197-env-r</v>
      </c>
      <c r="H29" t="str">
        <f>C29&amp;B29</f>
        <v>D4</v>
      </c>
      <c r="I29" t="str">
        <f>C29&amp;IF(LEN(B29)=1,"0"&amp;B29,B29)</f>
        <v>D04</v>
      </c>
    </row>
    <row r="30" spans="1:13" x14ac:dyDescent="0.25">
      <c r="A30">
        <v>29</v>
      </c>
      <c r="B30">
        <v>4</v>
      </c>
      <c r="C30" t="s">
        <v>5</v>
      </c>
      <c r="D30" s="26">
        <f>D29</f>
        <v>45306</v>
      </c>
      <c r="E30" s="23" t="s">
        <v>313</v>
      </c>
      <c r="F30" s="2">
        <v>1200</v>
      </c>
      <c r="G30" s="25" t="str">
        <f>IF(F30="","",IF(AND($R$1=1,NOT(ISERR(YEAR(D30)))),TEXT(D30,"ГГММДД")&amp;"-","")&amp;IF(F30&lt;&gt;"_",IF(LEN(F30)&lt;4,LEFT("00",3-LEN(F30)),"")&amp;F30,""))&amp;IF(E30&lt;&gt;"_", "-"&amp;E30,"")</f>
        <v>240115-1200-env-f</v>
      </c>
      <c r="H30" t="str">
        <f>C30&amp;B30</f>
        <v>E4</v>
      </c>
      <c r="I30" t="str">
        <f>C30&amp;IF(LEN(B30)=1,"0"&amp;B30,B30)</f>
        <v>E04</v>
      </c>
    </row>
    <row r="31" spans="1:13" x14ac:dyDescent="0.25">
      <c r="A31">
        <v>30</v>
      </c>
      <c r="B31">
        <v>4</v>
      </c>
      <c r="C31" t="s">
        <v>6</v>
      </c>
      <c r="D31" s="26">
        <f>D30</f>
        <v>45306</v>
      </c>
      <c r="E31" s="23" t="s">
        <v>320</v>
      </c>
      <c r="F31" s="2">
        <v>1200</v>
      </c>
      <c r="G31" s="25" t="str">
        <f>IF(F31="","",IF(AND($R$1=1,NOT(ISERR(YEAR(D31)))),TEXT(D31,"ГГММДД")&amp;"-","")&amp;IF(F31&lt;&gt;"_",IF(LEN(F31)&lt;4,LEFT("00",3-LEN(F31)),"")&amp;F31,""))&amp;IF(E31&lt;&gt;"_", "-"&amp;E31,"")</f>
        <v>240115-1200-env-r</v>
      </c>
      <c r="H31" t="str">
        <f>C31&amp;B31</f>
        <v>F4</v>
      </c>
      <c r="I31" t="str">
        <f>C31&amp;IF(LEN(B31)=1,"0"&amp;B31,B31)</f>
        <v>F04</v>
      </c>
    </row>
    <row r="32" spans="1:13" x14ac:dyDescent="0.25">
      <c r="A32">
        <v>31</v>
      </c>
      <c r="B32">
        <v>4</v>
      </c>
      <c r="C32" t="s">
        <v>7</v>
      </c>
      <c r="D32" s="26">
        <f>D31</f>
        <v>45306</v>
      </c>
      <c r="E32" s="23" t="s">
        <v>313</v>
      </c>
      <c r="F32" s="2">
        <v>1201</v>
      </c>
      <c r="G32" s="25" t="str">
        <f>IF(F32="","",IF(AND($R$1=1,NOT(ISERR(YEAR(D32)))),TEXT(D32,"ГГММДД")&amp;"-","")&amp;IF(F32&lt;&gt;"_",IF(LEN(F32)&lt;4,LEFT("00",3-LEN(F32)),"")&amp;F32,""))&amp;IF(E32&lt;&gt;"_", "-"&amp;E32,"")</f>
        <v>240115-1201-env-f</v>
      </c>
      <c r="H32" t="str">
        <f>C32&amp;B32</f>
        <v>G4</v>
      </c>
      <c r="I32" t="str">
        <f>C32&amp;IF(LEN(B32)=1,"0"&amp;B32,B32)</f>
        <v>G04</v>
      </c>
    </row>
    <row r="33" spans="1:9" x14ac:dyDescent="0.25">
      <c r="A33">
        <v>32</v>
      </c>
      <c r="B33">
        <v>4</v>
      </c>
      <c r="C33" t="s">
        <v>8</v>
      </c>
      <c r="D33" s="26">
        <f>D32</f>
        <v>45306</v>
      </c>
      <c r="E33" s="23" t="s">
        <v>320</v>
      </c>
      <c r="F33" s="2">
        <v>1201</v>
      </c>
      <c r="G33" s="25" t="str">
        <f>IF(F33="","",IF(AND($R$1=1,NOT(ISERR(YEAR(D33)))),TEXT(D33,"ГГММДД")&amp;"-","")&amp;IF(F33&lt;&gt;"_",IF(LEN(F33)&lt;4,LEFT("00",3-LEN(F33)),"")&amp;F33,""))&amp;IF(E33&lt;&gt;"_", "-"&amp;E33,"")</f>
        <v>240115-1201-env-r</v>
      </c>
      <c r="H33" t="str">
        <f>C33&amp;B33</f>
        <v>H4</v>
      </c>
      <c r="I33" t="str">
        <f>C33&amp;IF(LEN(B33)=1,"0"&amp;B33,B33)</f>
        <v>H04</v>
      </c>
    </row>
    <row r="34" spans="1:9" x14ac:dyDescent="0.25">
      <c r="A34">
        <v>33</v>
      </c>
      <c r="B34">
        <v>5</v>
      </c>
      <c r="C34" t="s">
        <v>1</v>
      </c>
      <c r="D34" s="26">
        <f>D33</f>
        <v>45306</v>
      </c>
      <c r="E34" s="23" t="s">
        <v>313</v>
      </c>
      <c r="F34" s="2">
        <v>1202</v>
      </c>
      <c r="G34" s="25" t="str">
        <f>IF(F34="","",IF(AND($R$1=1,NOT(ISERR(YEAR(D34)))),TEXT(D34,"ГГММДД")&amp;"-","")&amp;IF(F34&lt;&gt;"_",IF(LEN(F34)&lt;4,LEFT("00",3-LEN(F34)),"")&amp;F34,""))&amp;IF(E34&lt;&gt;"_", "-"&amp;E34,"")</f>
        <v>240115-1202-env-f</v>
      </c>
      <c r="H34" t="str">
        <f>C34&amp;B34</f>
        <v>A5</v>
      </c>
      <c r="I34" t="str">
        <f>C34&amp;IF(LEN(B34)=1,"0"&amp;B34,B34)</f>
        <v>A05</v>
      </c>
    </row>
    <row r="35" spans="1:9" x14ac:dyDescent="0.25">
      <c r="A35">
        <v>34</v>
      </c>
      <c r="B35">
        <v>5</v>
      </c>
      <c r="C35" t="s">
        <v>2</v>
      </c>
      <c r="D35" s="26">
        <f>D34</f>
        <v>45306</v>
      </c>
      <c r="E35" s="23" t="s">
        <v>320</v>
      </c>
      <c r="F35" s="2">
        <v>1202</v>
      </c>
      <c r="G35" s="25" t="str">
        <f>IF(F35="","",IF(AND($R$1=1,NOT(ISERR(YEAR(D35)))),TEXT(D35,"ГГММДД")&amp;"-","")&amp;IF(F35&lt;&gt;"_",IF(LEN(F35)&lt;4,LEFT("00",3-LEN(F35)),"")&amp;F35,""))&amp;IF(E35&lt;&gt;"_", "-"&amp;E35,"")</f>
        <v>240115-1202-env-r</v>
      </c>
      <c r="H35" t="str">
        <f>C35&amp;B35</f>
        <v>B5</v>
      </c>
      <c r="I35" t="str">
        <f>C35&amp;IF(LEN(B35)=1,"0"&amp;B35,B35)</f>
        <v>B05</v>
      </c>
    </row>
    <row r="36" spans="1:9" x14ac:dyDescent="0.25">
      <c r="A36">
        <v>35</v>
      </c>
      <c r="B36">
        <v>5</v>
      </c>
      <c r="C36" t="s">
        <v>3</v>
      </c>
      <c r="D36" s="26">
        <f>D35</f>
        <v>45306</v>
      </c>
      <c r="E36" s="23" t="s">
        <v>313</v>
      </c>
      <c r="F36" s="2">
        <v>1203</v>
      </c>
      <c r="G36" s="25" t="str">
        <f>IF(F36="","",IF(AND($R$1=1,NOT(ISERR(YEAR(D36)))),TEXT(D36,"ГГММДД")&amp;"-","")&amp;IF(F36&lt;&gt;"_",IF(LEN(F36)&lt;4,LEFT("00",3-LEN(F36)),"")&amp;F36,""))&amp;IF(E36&lt;&gt;"_", "-"&amp;E36,"")</f>
        <v>240115-1203-env-f</v>
      </c>
      <c r="H36" t="str">
        <f>C36&amp;B36</f>
        <v>C5</v>
      </c>
      <c r="I36" t="str">
        <f>C36&amp;IF(LEN(B36)=1,"0"&amp;B36,B36)</f>
        <v>C05</v>
      </c>
    </row>
    <row r="37" spans="1:9" x14ac:dyDescent="0.25">
      <c r="A37">
        <v>36</v>
      </c>
      <c r="B37">
        <v>5</v>
      </c>
      <c r="C37" t="s">
        <v>4</v>
      </c>
      <c r="D37" s="26">
        <f>D36</f>
        <v>45306</v>
      </c>
      <c r="E37" s="23" t="s">
        <v>320</v>
      </c>
      <c r="F37" s="2">
        <v>1203</v>
      </c>
      <c r="G37" s="25" t="str">
        <f>IF(F37="","",IF(AND($R$1=1,NOT(ISERR(YEAR(D37)))),TEXT(D37,"ГГММДД")&amp;"-","")&amp;IF(F37&lt;&gt;"_",IF(LEN(F37)&lt;4,LEFT("00",3-LEN(F37)),"")&amp;F37,""))&amp;IF(E37&lt;&gt;"_", "-"&amp;E37,"")</f>
        <v>240115-1203-env-r</v>
      </c>
      <c r="H37" t="str">
        <f>C37&amp;B37</f>
        <v>D5</v>
      </c>
      <c r="I37" t="str">
        <f>C37&amp;IF(LEN(B37)=1,"0"&amp;B37,B37)</f>
        <v>D05</v>
      </c>
    </row>
    <row r="38" spans="1:9" x14ac:dyDescent="0.25">
      <c r="A38">
        <v>37</v>
      </c>
      <c r="B38">
        <v>5</v>
      </c>
      <c r="C38" t="s">
        <v>5</v>
      </c>
      <c r="D38" s="26">
        <f>D37</f>
        <v>45306</v>
      </c>
      <c r="E38" s="23" t="s">
        <v>313</v>
      </c>
      <c r="F38" s="2">
        <v>1204</v>
      </c>
      <c r="G38" s="25" t="str">
        <f>IF(F38="","",IF(AND($R$1=1,NOT(ISERR(YEAR(D38)))),TEXT(D38,"ГГММДД")&amp;"-","")&amp;IF(F38&lt;&gt;"_",IF(LEN(F38)&lt;4,LEFT("00",3-LEN(F38)),"")&amp;F38,""))&amp;IF(E38&lt;&gt;"_", "-"&amp;E38,"")</f>
        <v>240115-1204-env-f</v>
      </c>
      <c r="H38" t="str">
        <f>C38&amp;B38</f>
        <v>E5</v>
      </c>
      <c r="I38" t="str">
        <f>C38&amp;IF(LEN(B38)=1,"0"&amp;B38,B38)</f>
        <v>E05</v>
      </c>
    </row>
    <row r="39" spans="1:9" x14ac:dyDescent="0.25">
      <c r="A39">
        <v>38</v>
      </c>
      <c r="B39">
        <v>5</v>
      </c>
      <c r="C39" t="s">
        <v>6</v>
      </c>
      <c r="D39" s="26">
        <f>D38</f>
        <v>45306</v>
      </c>
      <c r="E39" s="23" t="s">
        <v>320</v>
      </c>
      <c r="F39" s="2">
        <v>1204</v>
      </c>
      <c r="G39" s="25" t="str">
        <f>IF(F39="","",IF(AND($R$1=1,NOT(ISERR(YEAR(D39)))),TEXT(D39,"ГГММДД")&amp;"-","")&amp;IF(F39&lt;&gt;"_",IF(LEN(F39)&lt;4,LEFT("00",3-LEN(F39)),"")&amp;F39,""))&amp;IF(E39&lt;&gt;"_", "-"&amp;E39,"")</f>
        <v>240115-1204-env-r</v>
      </c>
      <c r="H39" t="str">
        <f>C39&amp;B39</f>
        <v>F5</v>
      </c>
      <c r="I39" t="str">
        <f>C39&amp;IF(LEN(B39)=1,"0"&amp;B39,B39)</f>
        <v>F05</v>
      </c>
    </row>
    <row r="40" spans="1:9" x14ac:dyDescent="0.25">
      <c r="A40">
        <v>39</v>
      </c>
      <c r="B40">
        <v>5</v>
      </c>
      <c r="C40" t="s">
        <v>7</v>
      </c>
      <c r="D40" s="26">
        <f>D39</f>
        <v>45306</v>
      </c>
      <c r="E40" s="23" t="s">
        <v>313</v>
      </c>
      <c r="F40" s="2">
        <v>1205</v>
      </c>
      <c r="G40" s="25" t="str">
        <f>IF(F40="","",IF(AND($R$1=1,NOT(ISERR(YEAR(D40)))),TEXT(D40,"ГГММДД")&amp;"-","")&amp;IF(F40&lt;&gt;"_",IF(LEN(F40)&lt;4,LEFT("00",3-LEN(F40)),"")&amp;F40,""))&amp;IF(E40&lt;&gt;"_", "-"&amp;E40,"")</f>
        <v>240115-1205-env-f</v>
      </c>
      <c r="H40" t="str">
        <f>C40&amp;B40</f>
        <v>G5</v>
      </c>
      <c r="I40" t="str">
        <f>C40&amp;IF(LEN(B40)=1,"0"&amp;B40,B40)</f>
        <v>G05</v>
      </c>
    </row>
    <row r="41" spans="1:9" x14ac:dyDescent="0.25">
      <c r="A41">
        <v>40</v>
      </c>
      <c r="B41">
        <v>5</v>
      </c>
      <c r="C41" t="s">
        <v>8</v>
      </c>
      <c r="D41" s="26">
        <f>D40</f>
        <v>45306</v>
      </c>
      <c r="E41" s="23" t="s">
        <v>320</v>
      </c>
      <c r="F41" s="2">
        <v>1205</v>
      </c>
      <c r="G41" s="25" t="str">
        <f>IF(F41="","",IF(AND($R$1=1,NOT(ISERR(YEAR(D41)))),TEXT(D41,"ГГММДД")&amp;"-","")&amp;IF(F41&lt;&gt;"_",IF(LEN(F41)&lt;4,LEFT("00",3-LEN(F41)),"")&amp;F41,""))&amp;IF(E41&lt;&gt;"_", "-"&amp;E41,"")</f>
        <v>240115-1205-env-r</v>
      </c>
      <c r="H41" t="str">
        <f>C41&amp;B41</f>
        <v>H5</v>
      </c>
      <c r="I41" t="str">
        <f>C41&amp;IF(LEN(B41)=1,"0"&amp;B41,B41)</f>
        <v>H05</v>
      </c>
    </row>
    <row r="42" spans="1:9" x14ac:dyDescent="0.25">
      <c r="A42">
        <v>41</v>
      </c>
      <c r="B42">
        <v>6</v>
      </c>
      <c r="C42" t="s">
        <v>1</v>
      </c>
      <c r="D42" s="26">
        <f>D41</f>
        <v>45306</v>
      </c>
      <c r="E42" s="23" t="s">
        <v>313</v>
      </c>
      <c r="F42" s="2">
        <v>1206</v>
      </c>
      <c r="G42" s="25" t="str">
        <f>IF(F42="","",IF(AND($R$1=1,NOT(ISERR(YEAR(D42)))),TEXT(D42,"ГГММДД")&amp;"-","")&amp;IF(F42&lt;&gt;"_",IF(LEN(F42)&lt;4,LEFT("00",3-LEN(F42)),"")&amp;F42,""))&amp;IF(E42&lt;&gt;"_", "-"&amp;E42,"")</f>
        <v>240115-1206-env-f</v>
      </c>
      <c r="H42" t="str">
        <f>C42&amp;B42</f>
        <v>A6</v>
      </c>
      <c r="I42" t="str">
        <f>C42&amp;IF(LEN(B42)=1,"0"&amp;B42,B42)</f>
        <v>A06</v>
      </c>
    </row>
    <row r="43" spans="1:9" x14ac:dyDescent="0.25">
      <c r="A43">
        <v>42</v>
      </c>
      <c r="B43">
        <v>6</v>
      </c>
      <c r="C43" t="s">
        <v>2</v>
      </c>
      <c r="D43" s="26">
        <f>D42</f>
        <v>45306</v>
      </c>
      <c r="E43" s="23" t="s">
        <v>320</v>
      </c>
      <c r="F43" s="2">
        <v>1206</v>
      </c>
      <c r="G43" s="25" t="str">
        <f>IF(F43="","",IF(AND($R$1=1,NOT(ISERR(YEAR(D43)))),TEXT(D43,"ГГММДД")&amp;"-","")&amp;IF(F43&lt;&gt;"_",IF(LEN(F43)&lt;4,LEFT("00",3-LEN(F43)),"")&amp;F43,""))&amp;IF(E43&lt;&gt;"_", "-"&amp;E43,"")</f>
        <v>240115-1206-env-r</v>
      </c>
      <c r="H43" t="str">
        <f>C43&amp;B43</f>
        <v>B6</v>
      </c>
      <c r="I43" t="str">
        <f>C43&amp;IF(LEN(B43)=1,"0"&amp;B43,B43)</f>
        <v>B06</v>
      </c>
    </row>
    <row r="44" spans="1:9" x14ac:dyDescent="0.25">
      <c r="A44">
        <v>43</v>
      </c>
      <c r="B44">
        <v>6</v>
      </c>
      <c r="C44" t="s">
        <v>3</v>
      </c>
      <c r="D44" s="26">
        <f>D43</f>
        <v>45306</v>
      </c>
      <c r="E44" s="23" t="s">
        <v>313</v>
      </c>
      <c r="F44" s="2">
        <v>1207</v>
      </c>
      <c r="G44" s="25" t="str">
        <f>IF(F44="","",IF(AND($R$1=1,NOT(ISERR(YEAR(D44)))),TEXT(D44,"ГГММДД")&amp;"-","")&amp;IF(F44&lt;&gt;"_",IF(LEN(F44)&lt;4,LEFT("00",3-LEN(F44)),"")&amp;F44,""))&amp;IF(E44&lt;&gt;"_", "-"&amp;E44,"")</f>
        <v>240115-1207-env-f</v>
      </c>
      <c r="H44" t="str">
        <f>C44&amp;B44</f>
        <v>C6</v>
      </c>
      <c r="I44" t="str">
        <f>C44&amp;IF(LEN(B44)=1,"0"&amp;B44,B44)</f>
        <v>C06</v>
      </c>
    </row>
    <row r="45" spans="1:9" x14ac:dyDescent="0.25">
      <c r="A45">
        <v>44</v>
      </c>
      <c r="B45">
        <v>6</v>
      </c>
      <c r="C45" t="s">
        <v>4</v>
      </c>
      <c r="D45" s="26">
        <f>D44</f>
        <v>45306</v>
      </c>
      <c r="E45" s="23" t="s">
        <v>320</v>
      </c>
      <c r="F45" s="2">
        <v>1207</v>
      </c>
      <c r="G45" s="25" t="str">
        <f>IF(F45="","",IF(AND($R$1=1,NOT(ISERR(YEAR(D45)))),TEXT(D45,"ГГММДД")&amp;"-","")&amp;IF(F45&lt;&gt;"_",IF(LEN(F45)&lt;4,LEFT("00",3-LEN(F45)),"")&amp;F45,""))&amp;IF(E45&lt;&gt;"_", "-"&amp;E45,"")</f>
        <v>240115-1207-env-r</v>
      </c>
      <c r="H45" t="str">
        <f>C45&amp;B45</f>
        <v>D6</v>
      </c>
      <c r="I45" t="str">
        <f>C45&amp;IF(LEN(B45)=1,"0"&amp;B45,B45)</f>
        <v>D06</v>
      </c>
    </row>
    <row r="46" spans="1:9" x14ac:dyDescent="0.25">
      <c r="A46">
        <v>45</v>
      </c>
      <c r="B46">
        <v>6</v>
      </c>
      <c r="C46" t="s">
        <v>5</v>
      </c>
      <c r="D46" s="26">
        <f>D45</f>
        <v>45306</v>
      </c>
      <c r="E46" s="23" t="s">
        <v>313</v>
      </c>
      <c r="F46" s="2">
        <v>1208</v>
      </c>
      <c r="G46" s="25" t="str">
        <f>IF(F46="","",IF(AND($R$1=1,NOT(ISERR(YEAR(D46)))),TEXT(D46,"ГГММДД")&amp;"-","")&amp;IF(F46&lt;&gt;"_",IF(LEN(F46)&lt;4,LEFT("00",3-LEN(F46)),"")&amp;F46,""))&amp;IF(E46&lt;&gt;"_", "-"&amp;E46,"")</f>
        <v>240115-1208-env-f</v>
      </c>
      <c r="H46" t="str">
        <f>C46&amp;B46</f>
        <v>E6</v>
      </c>
      <c r="I46" t="str">
        <f>C46&amp;IF(LEN(B46)=1,"0"&amp;B46,B46)</f>
        <v>E06</v>
      </c>
    </row>
    <row r="47" spans="1:9" x14ac:dyDescent="0.25">
      <c r="A47">
        <v>46</v>
      </c>
      <c r="B47">
        <v>6</v>
      </c>
      <c r="C47" t="s">
        <v>6</v>
      </c>
      <c r="D47" s="26">
        <f>D46</f>
        <v>45306</v>
      </c>
      <c r="E47" s="23" t="s">
        <v>320</v>
      </c>
      <c r="F47" s="2">
        <v>1208</v>
      </c>
      <c r="G47" s="25" t="str">
        <f>IF(F47="","",IF(AND($R$1=1,NOT(ISERR(YEAR(D47)))),TEXT(D47,"ГГММДД")&amp;"-","")&amp;IF(F47&lt;&gt;"_",IF(LEN(F47)&lt;4,LEFT("00",3-LEN(F47)),"")&amp;F47,""))&amp;IF(E47&lt;&gt;"_", "-"&amp;E47,"")</f>
        <v>240115-1208-env-r</v>
      </c>
      <c r="H47" t="str">
        <f>C47&amp;B47</f>
        <v>F6</v>
      </c>
      <c r="I47" t="str">
        <f>C47&amp;IF(LEN(B47)=1,"0"&amp;B47,B47)</f>
        <v>F06</v>
      </c>
    </row>
    <row r="48" spans="1:9" x14ac:dyDescent="0.25">
      <c r="A48">
        <v>47</v>
      </c>
      <c r="B48">
        <v>6</v>
      </c>
      <c r="C48" t="s">
        <v>7</v>
      </c>
      <c r="D48" s="26">
        <f>D47</f>
        <v>45306</v>
      </c>
      <c r="E48" s="23" t="s">
        <v>313</v>
      </c>
      <c r="F48" s="2">
        <v>1209</v>
      </c>
      <c r="G48" s="25" t="str">
        <f>IF(F48="","",IF(AND($R$1=1,NOT(ISERR(YEAR(D48)))),TEXT(D48,"ГГММДД")&amp;"-","")&amp;IF(F48&lt;&gt;"_",IF(LEN(F48)&lt;4,LEFT("00",3-LEN(F48)),"")&amp;F48,""))&amp;IF(E48&lt;&gt;"_", "-"&amp;E48,"")</f>
        <v>240115-1209-env-f</v>
      </c>
      <c r="H48" t="str">
        <f>C48&amp;B48</f>
        <v>G6</v>
      </c>
      <c r="I48" t="str">
        <f>C48&amp;IF(LEN(B48)=1,"0"&amp;B48,B48)</f>
        <v>G06</v>
      </c>
    </row>
    <row r="49" spans="1:9" x14ac:dyDescent="0.25">
      <c r="A49">
        <v>48</v>
      </c>
      <c r="B49">
        <v>6</v>
      </c>
      <c r="C49" t="s">
        <v>8</v>
      </c>
      <c r="D49" s="26">
        <f>D48</f>
        <v>45306</v>
      </c>
      <c r="E49" s="23" t="s">
        <v>320</v>
      </c>
      <c r="F49" s="2">
        <v>1209</v>
      </c>
      <c r="G49" s="25" t="str">
        <f>IF(F49="","",IF(AND($R$1=1,NOT(ISERR(YEAR(D49)))),TEXT(D49,"ГГММДД")&amp;"-","")&amp;IF(F49&lt;&gt;"_",IF(LEN(F49)&lt;4,LEFT("00",3-LEN(F49)),"")&amp;F49,""))&amp;IF(E49&lt;&gt;"_", "-"&amp;E49,"")</f>
        <v>240115-1209-env-r</v>
      </c>
      <c r="H49" t="str">
        <f>C49&amp;B49</f>
        <v>H6</v>
      </c>
      <c r="I49" t="str">
        <f>C49&amp;IF(LEN(B49)=1,"0"&amp;B49,B49)</f>
        <v>H06</v>
      </c>
    </row>
    <row r="50" spans="1:9" x14ac:dyDescent="0.25">
      <c r="A50">
        <v>49</v>
      </c>
      <c r="B50">
        <v>7</v>
      </c>
      <c r="C50" t="s">
        <v>1</v>
      </c>
      <c r="D50" s="26">
        <f>D49</f>
        <v>45306</v>
      </c>
      <c r="E50" s="23" t="s">
        <v>313</v>
      </c>
      <c r="F50" s="2">
        <v>1210</v>
      </c>
      <c r="G50" s="25" t="str">
        <f>IF(F50="","",IF(AND($R$1=1,NOT(ISERR(YEAR(D50)))),TEXT(D50,"ГГММДД")&amp;"-","")&amp;IF(F50&lt;&gt;"_",IF(LEN(F50)&lt;4,LEFT("00",3-LEN(F50)),"")&amp;F50,""))&amp;IF(E50&lt;&gt;"_", "-"&amp;E50,"")</f>
        <v>240115-1210-env-f</v>
      </c>
      <c r="H50" t="str">
        <f>C50&amp;B50</f>
        <v>A7</v>
      </c>
      <c r="I50" t="str">
        <f>C50&amp;IF(LEN(B50)=1,"0"&amp;B50,B50)</f>
        <v>A07</v>
      </c>
    </row>
    <row r="51" spans="1:9" x14ac:dyDescent="0.25">
      <c r="A51">
        <v>50</v>
      </c>
      <c r="B51">
        <v>7</v>
      </c>
      <c r="C51" t="s">
        <v>2</v>
      </c>
      <c r="D51" s="26">
        <f>D50</f>
        <v>45306</v>
      </c>
      <c r="E51" s="23" t="s">
        <v>320</v>
      </c>
      <c r="F51" s="2">
        <v>1210</v>
      </c>
      <c r="G51" s="25" t="str">
        <f>IF(F51="","",IF(AND($R$1=1,NOT(ISERR(YEAR(D51)))),TEXT(D51,"ГГММДД")&amp;"-","")&amp;IF(F51&lt;&gt;"_",IF(LEN(F51)&lt;4,LEFT("00",3-LEN(F51)),"")&amp;F51,""))&amp;IF(E51&lt;&gt;"_", "-"&amp;E51,"")</f>
        <v>240115-1210-env-r</v>
      </c>
      <c r="H51" t="str">
        <f>C51&amp;B51</f>
        <v>B7</v>
      </c>
      <c r="I51" t="str">
        <f>C51&amp;IF(LEN(B51)=1,"0"&amp;B51,B51)</f>
        <v>B07</v>
      </c>
    </row>
    <row r="52" spans="1:9" x14ac:dyDescent="0.25">
      <c r="A52">
        <v>51</v>
      </c>
      <c r="B52">
        <v>7</v>
      </c>
      <c r="C52" t="s">
        <v>3</v>
      </c>
      <c r="D52" s="26">
        <f>D51</f>
        <v>45306</v>
      </c>
      <c r="E52" s="23" t="s">
        <v>313</v>
      </c>
      <c r="F52" s="2">
        <v>1211</v>
      </c>
      <c r="G52" s="25" t="str">
        <f>IF(F52="","",IF(AND($R$1=1,NOT(ISERR(YEAR(D52)))),TEXT(D52,"ГГММДД")&amp;"-","")&amp;IF(F52&lt;&gt;"_",IF(LEN(F52)&lt;4,LEFT("00",3-LEN(F52)),"")&amp;F52,""))&amp;IF(E52&lt;&gt;"_", "-"&amp;E52,"")</f>
        <v>240115-1211-env-f</v>
      </c>
      <c r="H52" t="str">
        <f>C52&amp;B52</f>
        <v>C7</v>
      </c>
      <c r="I52" t="str">
        <f>C52&amp;IF(LEN(B52)=1,"0"&amp;B52,B52)</f>
        <v>C07</v>
      </c>
    </row>
    <row r="53" spans="1:9" x14ac:dyDescent="0.25">
      <c r="A53">
        <v>52</v>
      </c>
      <c r="B53">
        <v>7</v>
      </c>
      <c r="C53" t="s">
        <v>4</v>
      </c>
      <c r="D53" s="26">
        <f>D52</f>
        <v>45306</v>
      </c>
      <c r="E53" s="23" t="s">
        <v>320</v>
      </c>
      <c r="F53" s="2">
        <v>1211</v>
      </c>
      <c r="G53" s="25" t="str">
        <f>IF(F53="","",IF(AND($R$1=1,NOT(ISERR(YEAR(D53)))),TEXT(D53,"ГГММДД")&amp;"-","")&amp;IF(F53&lt;&gt;"_",IF(LEN(F53)&lt;4,LEFT("00",3-LEN(F53)),"")&amp;F53,""))&amp;IF(E53&lt;&gt;"_", "-"&amp;E53,"")</f>
        <v>240115-1211-env-r</v>
      </c>
      <c r="H53" t="str">
        <f>C53&amp;B53</f>
        <v>D7</v>
      </c>
      <c r="I53" t="str">
        <f>C53&amp;IF(LEN(B53)=1,"0"&amp;B53,B53)</f>
        <v>D07</v>
      </c>
    </row>
    <row r="54" spans="1:9" x14ac:dyDescent="0.25">
      <c r="A54">
        <v>53</v>
      </c>
      <c r="B54">
        <v>7</v>
      </c>
      <c r="C54" t="s">
        <v>5</v>
      </c>
      <c r="D54" s="26">
        <f>D53</f>
        <v>45306</v>
      </c>
      <c r="E54" s="23" t="s">
        <v>313</v>
      </c>
      <c r="F54" s="2">
        <v>1212</v>
      </c>
      <c r="G54" s="25" t="str">
        <f>IF(F54="","",IF(AND($R$1=1,NOT(ISERR(YEAR(D54)))),TEXT(D54,"ГГММДД")&amp;"-","")&amp;IF(F54&lt;&gt;"_",IF(LEN(F54)&lt;4,LEFT("00",3-LEN(F54)),"")&amp;F54,""))&amp;IF(E54&lt;&gt;"_", "-"&amp;E54,"")</f>
        <v>240115-1212-env-f</v>
      </c>
      <c r="H54" t="str">
        <f>C54&amp;B54</f>
        <v>E7</v>
      </c>
      <c r="I54" t="str">
        <f>C54&amp;IF(LEN(B54)=1,"0"&amp;B54,B54)</f>
        <v>E07</v>
      </c>
    </row>
    <row r="55" spans="1:9" x14ac:dyDescent="0.25">
      <c r="A55">
        <v>54</v>
      </c>
      <c r="B55">
        <v>7</v>
      </c>
      <c r="C55" t="s">
        <v>6</v>
      </c>
      <c r="D55" s="26">
        <f>D54</f>
        <v>45306</v>
      </c>
      <c r="E55" s="23" t="s">
        <v>320</v>
      </c>
      <c r="F55" s="2">
        <v>1212</v>
      </c>
      <c r="G55" s="25" t="str">
        <f>IF(F55="","",IF(AND($R$1=1,NOT(ISERR(YEAR(D55)))),TEXT(D55,"ГГММДД")&amp;"-","")&amp;IF(F55&lt;&gt;"_",IF(LEN(F55)&lt;4,LEFT("00",3-LEN(F55)),"")&amp;F55,""))&amp;IF(E55&lt;&gt;"_", "-"&amp;E55,"")</f>
        <v>240115-1212-env-r</v>
      </c>
      <c r="H55" t="str">
        <f>C55&amp;B55</f>
        <v>F7</v>
      </c>
      <c r="I55" t="str">
        <f>C55&amp;IF(LEN(B55)=1,"0"&amp;B55,B55)</f>
        <v>F07</v>
      </c>
    </row>
    <row r="56" spans="1:9" x14ac:dyDescent="0.25">
      <c r="A56">
        <v>55</v>
      </c>
      <c r="B56">
        <v>7</v>
      </c>
      <c r="C56" t="s">
        <v>7</v>
      </c>
      <c r="D56" s="26">
        <f>D55</f>
        <v>45306</v>
      </c>
      <c r="E56" s="23" t="s">
        <v>313</v>
      </c>
      <c r="F56" s="2">
        <v>1213</v>
      </c>
      <c r="G56" s="25" t="str">
        <f>IF(F56="","",IF(AND($R$1=1,NOT(ISERR(YEAR(D56)))),TEXT(D56,"ГГММДД")&amp;"-","")&amp;IF(F56&lt;&gt;"_",IF(LEN(F56)&lt;4,LEFT("00",3-LEN(F56)),"")&amp;F56,""))&amp;IF(E56&lt;&gt;"_", "-"&amp;E56,"")</f>
        <v>240115-1213-env-f</v>
      </c>
      <c r="H56" t="str">
        <f>C56&amp;B56</f>
        <v>G7</v>
      </c>
      <c r="I56" t="str">
        <f>C56&amp;IF(LEN(B56)=1,"0"&amp;B56,B56)</f>
        <v>G07</v>
      </c>
    </row>
    <row r="57" spans="1:9" x14ac:dyDescent="0.25">
      <c r="A57">
        <v>56</v>
      </c>
      <c r="B57">
        <v>7</v>
      </c>
      <c r="C57" t="s">
        <v>8</v>
      </c>
      <c r="D57" s="26">
        <f>D56</f>
        <v>45306</v>
      </c>
      <c r="E57" s="23" t="s">
        <v>320</v>
      </c>
      <c r="F57" s="2">
        <v>1213</v>
      </c>
      <c r="G57" s="25" t="str">
        <f>IF(F57="","",IF(AND($R$1=1,NOT(ISERR(YEAR(D57)))),TEXT(D57,"ГГММДД")&amp;"-","")&amp;IF(F57&lt;&gt;"_",IF(LEN(F57)&lt;4,LEFT("00",3-LEN(F57)),"")&amp;F57,""))&amp;IF(E57&lt;&gt;"_", "-"&amp;E57,"")</f>
        <v>240115-1213-env-r</v>
      </c>
      <c r="H57" t="str">
        <f>C57&amp;B57</f>
        <v>H7</v>
      </c>
      <c r="I57" t="str">
        <f>C57&amp;IF(LEN(B57)=1,"0"&amp;B57,B57)</f>
        <v>H07</v>
      </c>
    </row>
    <row r="58" spans="1:9" x14ac:dyDescent="0.25">
      <c r="A58">
        <v>57</v>
      </c>
      <c r="B58">
        <v>8</v>
      </c>
      <c r="C58" t="s">
        <v>1</v>
      </c>
      <c r="D58" s="26">
        <f>D57</f>
        <v>45306</v>
      </c>
      <c r="E58" s="23" t="s">
        <v>313</v>
      </c>
      <c r="F58" s="2" t="s">
        <v>321</v>
      </c>
      <c r="G58" s="25" t="str">
        <f>IF(F58="","",IF(AND($R$1=1,NOT(ISERR(YEAR(D58)))),TEXT(D58,"ГГММДД")&amp;"-","")&amp;IF(F58&lt;&gt;"_",IF(LEN(F58)&lt;4,LEFT("00",3-LEN(F58)),"")&amp;F58,""))&amp;IF(E58&lt;&gt;"_", "-"&amp;E58,"")</f>
        <v>240115-188a-env-f</v>
      </c>
      <c r="H58" t="str">
        <f>C58&amp;B58</f>
        <v>A8</v>
      </c>
      <c r="I58" t="str">
        <f>C58&amp;IF(LEN(B58)=1,"0"&amp;B58,B58)</f>
        <v>A08</v>
      </c>
    </row>
    <row r="59" spans="1:9" x14ac:dyDescent="0.25">
      <c r="A59">
        <v>58</v>
      </c>
      <c r="B59">
        <v>8</v>
      </c>
      <c r="C59" t="s">
        <v>2</v>
      </c>
      <c r="D59" s="26">
        <f>D58</f>
        <v>45306</v>
      </c>
      <c r="E59" s="23" t="s">
        <v>320</v>
      </c>
      <c r="F59" s="2" t="s">
        <v>321</v>
      </c>
      <c r="G59" s="25" t="str">
        <f>IF(F59="","",IF(AND($R$1=1,NOT(ISERR(YEAR(D59)))),TEXT(D59,"ГГММДД")&amp;"-","")&amp;IF(F59&lt;&gt;"_",IF(LEN(F59)&lt;4,LEFT("00",3-LEN(F59)),"")&amp;F59,""))&amp;IF(E59&lt;&gt;"_", "-"&amp;E59,"")</f>
        <v>240115-188a-env-r</v>
      </c>
      <c r="H59" t="str">
        <f>C59&amp;B59</f>
        <v>B8</v>
      </c>
      <c r="I59" t="str">
        <f>C59&amp;IF(LEN(B59)=1,"0"&amp;B59,B59)</f>
        <v>B08</v>
      </c>
    </row>
    <row r="60" spans="1:9" x14ac:dyDescent="0.25">
      <c r="A60">
        <v>59</v>
      </c>
      <c r="B60">
        <v>8</v>
      </c>
      <c r="C60" t="s">
        <v>3</v>
      </c>
      <c r="D60" s="26">
        <f>D59</f>
        <v>45306</v>
      </c>
      <c r="E60" s="23" t="s">
        <v>313</v>
      </c>
      <c r="F60" s="2" t="s">
        <v>322</v>
      </c>
      <c r="G60" s="25" t="str">
        <f>IF(F60="","",IF(AND($R$1=1,NOT(ISERR(YEAR(D60)))),TEXT(D60,"ГГММДД")&amp;"-","")&amp;IF(F60&lt;&gt;"_",IF(LEN(F60)&lt;4,LEFT("00",3-LEN(F60)),"")&amp;F60,""))&amp;IF(E60&lt;&gt;"_", "-"&amp;E60,"")</f>
        <v>240115-191a-env-f</v>
      </c>
      <c r="H60" t="str">
        <f>C60&amp;B60</f>
        <v>C8</v>
      </c>
      <c r="I60" t="str">
        <f>C60&amp;IF(LEN(B60)=1,"0"&amp;B60,B60)</f>
        <v>C08</v>
      </c>
    </row>
    <row r="61" spans="1:9" x14ac:dyDescent="0.25">
      <c r="A61">
        <v>60</v>
      </c>
      <c r="B61">
        <v>8</v>
      </c>
      <c r="C61" t="s">
        <v>4</v>
      </c>
      <c r="D61" s="26">
        <f>D60</f>
        <v>45306</v>
      </c>
      <c r="E61" s="23" t="s">
        <v>320</v>
      </c>
      <c r="F61" s="2" t="s">
        <v>322</v>
      </c>
      <c r="G61" s="25" t="str">
        <f>IF(F61="","",IF(AND($R$1=1,NOT(ISERR(YEAR(D61)))),TEXT(D61,"ГГММДД")&amp;"-","")&amp;IF(F61&lt;&gt;"_",IF(LEN(F61)&lt;4,LEFT("00",3-LEN(F61)),"")&amp;F61,""))&amp;IF(E61&lt;&gt;"_", "-"&amp;E61,"")</f>
        <v>240115-191a-env-r</v>
      </c>
      <c r="H61" t="str">
        <f>C61&amp;B61</f>
        <v>D8</v>
      </c>
      <c r="I61" t="str">
        <f>C61&amp;IF(LEN(B61)=1,"0"&amp;B61,B61)</f>
        <v>D08</v>
      </c>
    </row>
    <row r="62" spans="1:9" x14ac:dyDescent="0.25">
      <c r="A62">
        <v>61</v>
      </c>
      <c r="B62">
        <v>8</v>
      </c>
      <c r="C62" t="s">
        <v>5</v>
      </c>
      <c r="D62" s="26">
        <f>D61</f>
        <v>45306</v>
      </c>
      <c r="E62" s="23" t="s">
        <v>313</v>
      </c>
      <c r="F62" s="2" t="s">
        <v>323</v>
      </c>
      <c r="G62" s="25" t="str">
        <f>IF(F62="","",IF(AND($R$1=1,NOT(ISERR(YEAR(D62)))),TEXT(D62,"ГГММДД")&amp;"-","")&amp;IF(F62&lt;&gt;"_",IF(LEN(F62)&lt;4,LEFT("00",3-LEN(F62)),"")&amp;F62,""))&amp;IF(E62&lt;&gt;"_", "-"&amp;E62,"")</f>
        <v>240115-213a-env-f</v>
      </c>
      <c r="H62" t="str">
        <f>C62&amp;B62</f>
        <v>E8</v>
      </c>
      <c r="I62" t="str">
        <f>C62&amp;IF(LEN(B62)=1,"0"&amp;B62,B62)</f>
        <v>E08</v>
      </c>
    </row>
    <row r="63" spans="1:9" x14ac:dyDescent="0.25">
      <c r="A63">
        <v>62</v>
      </c>
      <c r="B63">
        <v>8</v>
      </c>
      <c r="C63" t="s">
        <v>6</v>
      </c>
      <c r="D63" s="26">
        <f>D62</f>
        <v>45306</v>
      </c>
      <c r="E63" s="23" t="s">
        <v>320</v>
      </c>
      <c r="F63" s="2" t="s">
        <v>323</v>
      </c>
      <c r="G63" s="25" t="str">
        <f>IF(F63="","",IF(AND($R$1=1,NOT(ISERR(YEAR(D63)))),TEXT(D63,"ГГММДД")&amp;"-","")&amp;IF(F63&lt;&gt;"_",IF(LEN(F63)&lt;4,LEFT("00",3-LEN(F63)),"")&amp;F63,""))&amp;IF(E63&lt;&gt;"_", "-"&amp;E63,"")</f>
        <v>240115-213a-env-r</v>
      </c>
      <c r="H63" t="str">
        <f>C63&amp;B63</f>
        <v>F8</v>
      </c>
      <c r="I63" t="str">
        <f>C63&amp;IF(LEN(B63)=1,"0"&amp;B63,B63)</f>
        <v>F08</v>
      </c>
    </row>
    <row r="64" spans="1:9" x14ac:dyDescent="0.25">
      <c r="A64">
        <v>63</v>
      </c>
      <c r="B64">
        <v>8</v>
      </c>
      <c r="C64" t="s">
        <v>7</v>
      </c>
      <c r="D64" s="26">
        <f>D63</f>
        <v>45306</v>
      </c>
      <c r="E64" s="23" t="s">
        <v>313</v>
      </c>
      <c r="F64" s="2" t="s">
        <v>325</v>
      </c>
      <c r="G64" s="25" t="str">
        <f>IF(F64="","",IF(AND($R$1=1,NOT(ISERR(YEAR(D64)))),TEXT(D64,"ГГММДД")&amp;"-","")&amp;IF(F64&lt;&gt;"_",IF(LEN(F64)&lt;4,LEFT("00",3-LEN(F64)),"")&amp;F64,""))&amp;IF(E64&lt;&gt;"_", "-"&amp;E64,"")</f>
        <v>240115-214a-env-f</v>
      </c>
      <c r="H64" t="str">
        <f>C64&amp;B64</f>
        <v>G8</v>
      </c>
      <c r="I64" t="str">
        <f>C64&amp;IF(LEN(B64)=1,"0"&amp;B64,B64)</f>
        <v>G08</v>
      </c>
    </row>
    <row r="65" spans="1:9" x14ac:dyDescent="0.25">
      <c r="A65">
        <v>64</v>
      </c>
      <c r="B65">
        <v>8</v>
      </c>
      <c r="C65" t="s">
        <v>8</v>
      </c>
      <c r="D65" s="26">
        <f>D64</f>
        <v>45306</v>
      </c>
      <c r="E65" s="23" t="s">
        <v>320</v>
      </c>
      <c r="F65" s="2" t="s">
        <v>325</v>
      </c>
      <c r="G65" s="25" t="str">
        <f>IF(F65="","",IF(AND($R$1=1,NOT(ISERR(YEAR(D65)))),TEXT(D65,"ГГММДД")&amp;"-","")&amp;IF(F65&lt;&gt;"_",IF(LEN(F65)&lt;4,LEFT("00",3-LEN(F65)),"")&amp;F65,""))&amp;IF(E65&lt;&gt;"_", "-"&amp;E65,"")</f>
        <v>240115-214a-env-r</v>
      </c>
      <c r="H65" t="str">
        <f>C65&amp;B65</f>
        <v>H8</v>
      </c>
      <c r="I65" t="str">
        <f>C65&amp;IF(LEN(B65)=1,"0"&amp;B65,B65)</f>
        <v>H08</v>
      </c>
    </row>
    <row r="66" spans="1:9" x14ac:dyDescent="0.25">
      <c r="A66">
        <v>65</v>
      </c>
      <c r="B66">
        <v>9</v>
      </c>
      <c r="C66" t="s">
        <v>1</v>
      </c>
      <c r="D66" s="26">
        <f>D65</f>
        <v>45306</v>
      </c>
      <c r="E66" s="23" t="s">
        <v>313</v>
      </c>
      <c r="F66" s="2" t="s">
        <v>326</v>
      </c>
      <c r="G66" s="25" t="str">
        <f>IF(F66="","",IF(AND($R$1=1,NOT(ISERR(YEAR(D66)))),TEXT(D66,"ГГММДД")&amp;"-","")&amp;IF(F66&lt;&gt;"_",IF(LEN(F66)&lt;4,LEFT("00",3-LEN(F66)),"")&amp;F66,""))&amp;IF(E66&lt;&gt;"_", "-"&amp;E66,"")</f>
        <v>240115-216a-env-f</v>
      </c>
      <c r="H66" t="str">
        <f>C66&amp;B66</f>
        <v>A9</v>
      </c>
      <c r="I66" t="str">
        <f>C66&amp;IF(LEN(B66)=1,"0"&amp;B66,B66)</f>
        <v>A09</v>
      </c>
    </row>
    <row r="67" spans="1:9" x14ac:dyDescent="0.25">
      <c r="A67">
        <v>66</v>
      </c>
      <c r="B67">
        <v>9</v>
      </c>
      <c r="C67" t="s">
        <v>2</v>
      </c>
      <c r="D67" s="26">
        <f>D66</f>
        <v>45306</v>
      </c>
      <c r="E67" s="23" t="s">
        <v>320</v>
      </c>
      <c r="F67" s="2" t="s">
        <v>326</v>
      </c>
      <c r="G67" s="25" t="str">
        <f>IF(F67="","",IF(AND($R$1=1,NOT(ISERR(YEAR(D67)))),TEXT(D67,"ГГММДД")&amp;"-","")&amp;IF(F67&lt;&gt;"_",IF(LEN(F67)&lt;4,LEFT("00",3-LEN(F67)),"")&amp;F67,""))&amp;IF(E67&lt;&gt;"_", "-"&amp;E67,"")</f>
        <v>240115-216a-env-r</v>
      </c>
      <c r="H67" t="str">
        <f>C67&amp;B67</f>
        <v>B9</v>
      </c>
      <c r="I67" t="str">
        <f>C67&amp;IF(LEN(B67)=1,"0"&amp;B67,B67)</f>
        <v>B09</v>
      </c>
    </row>
    <row r="68" spans="1:9" x14ac:dyDescent="0.25">
      <c r="A68">
        <v>67</v>
      </c>
      <c r="B68">
        <v>9</v>
      </c>
      <c r="C68" t="s">
        <v>3</v>
      </c>
      <c r="D68" s="26">
        <f>D67</f>
        <v>45306</v>
      </c>
      <c r="E68" s="23" t="s">
        <v>313</v>
      </c>
      <c r="F68" s="2" t="s">
        <v>327</v>
      </c>
      <c r="G68" s="25" t="str">
        <f>IF(F68="","",IF(AND($R$1=1,NOT(ISERR(YEAR(D68)))),TEXT(D68,"ГГММДД")&amp;"-","")&amp;IF(F68&lt;&gt;"_",IF(LEN(F68)&lt;4,LEFT("00",3-LEN(F68)),"")&amp;F68,""))&amp;IF(E68&lt;&gt;"_", "-"&amp;E68,"")</f>
        <v>240115-219a-env-f</v>
      </c>
      <c r="H68" t="str">
        <f>C68&amp;B68</f>
        <v>C9</v>
      </c>
      <c r="I68" t="str">
        <f>C68&amp;IF(LEN(B68)=1,"0"&amp;B68,B68)</f>
        <v>C09</v>
      </c>
    </row>
    <row r="69" spans="1:9" x14ac:dyDescent="0.25">
      <c r="A69">
        <v>68</v>
      </c>
      <c r="B69">
        <v>9</v>
      </c>
      <c r="C69" t="s">
        <v>4</v>
      </c>
      <c r="D69" s="26">
        <f>D68</f>
        <v>45306</v>
      </c>
      <c r="E69" s="23" t="s">
        <v>320</v>
      </c>
      <c r="F69" s="2" t="s">
        <v>327</v>
      </c>
      <c r="G69" s="25" t="str">
        <f>IF(F69="","",IF(AND($R$1=1,NOT(ISERR(YEAR(D69)))),TEXT(D69,"ГГММДД")&amp;"-","")&amp;IF(F69&lt;&gt;"_",IF(LEN(F69)&lt;4,LEFT("00",3-LEN(F69)),"")&amp;F69,""))&amp;IF(E69&lt;&gt;"_", "-"&amp;E69,"")</f>
        <v>240115-219a-env-r</v>
      </c>
      <c r="H69" t="str">
        <f>C69&amp;B69</f>
        <v>D9</v>
      </c>
      <c r="I69" t="str">
        <f>C69&amp;IF(LEN(B69)=1,"0"&amp;B69,B69)</f>
        <v>D09</v>
      </c>
    </row>
    <row r="70" spans="1:9" x14ac:dyDescent="0.25">
      <c r="A70">
        <v>69</v>
      </c>
      <c r="B70">
        <v>9</v>
      </c>
      <c r="C70" t="s">
        <v>5</v>
      </c>
      <c r="D70" s="26">
        <f>D69</f>
        <v>45306</v>
      </c>
      <c r="E70" s="23" t="s">
        <v>313</v>
      </c>
      <c r="F70" s="2" t="s">
        <v>328</v>
      </c>
      <c r="G70" s="25" t="str">
        <f>IF(F70="","",IF(AND($R$1=1,NOT(ISERR(YEAR(D70)))),TEXT(D70,"ГГММДД")&amp;"-","")&amp;IF(F70&lt;&gt;"_",IF(LEN(F70)&lt;4,LEFT("00",3-LEN(F70)),"")&amp;F70,""))&amp;IF(E70&lt;&gt;"_", "-"&amp;E70,"")</f>
        <v>240115-220a-env-f</v>
      </c>
      <c r="H70" t="str">
        <f>C70&amp;B70</f>
        <v>E9</v>
      </c>
      <c r="I70" t="str">
        <f>C70&amp;IF(LEN(B70)=1,"0"&amp;B70,B70)</f>
        <v>E09</v>
      </c>
    </row>
    <row r="71" spans="1:9" x14ac:dyDescent="0.25">
      <c r="A71">
        <v>70</v>
      </c>
      <c r="B71">
        <v>9</v>
      </c>
      <c r="C71" t="s">
        <v>6</v>
      </c>
      <c r="D71" s="26">
        <f>D70</f>
        <v>45306</v>
      </c>
      <c r="E71" s="23" t="s">
        <v>320</v>
      </c>
      <c r="F71" s="2" t="s">
        <v>328</v>
      </c>
      <c r="G71" s="25" t="str">
        <f>IF(F71="","",IF(AND($R$1=1,NOT(ISERR(YEAR(D71)))),TEXT(D71,"ГГММДД")&amp;"-","")&amp;IF(F71&lt;&gt;"_",IF(LEN(F71)&lt;4,LEFT("00",3-LEN(F71)),"")&amp;F71,""))&amp;IF(E71&lt;&gt;"_", "-"&amp;E71,"")</f>
        <v>240115-220a-env-r</v>
      </c>
      <c r="H71" t="str">
        <f>C71&amp;B71</f>
        <v>F9</v>
      </c>
      <c r="I71" t="str">
        <f>C71&amp;IF(LEN(B71)=1,"0"&amp;B71,B71)</f>
        <v>F09</v>
      </c>
    </row>
    <row r="72" spans="1:9" x14ac:dyDescent="0.25">
      <c r="A72">
        <v>71</v>
      </c>
      <c r="B72">
        <v>9</v>
      </c>
      <c r="C72" t="s">
        <v>7</v>
      </c>
      <c r="D72" s="26">
        <f>D71</f>
        <v>45306</v>
      </c>
      <c r="E72" s="23" t="s">
        <v>313</v>
      </c>
      <c r="F72" s="2" t="s">
        <v>329</v>
      </c>
      <c r="G72" s="25" t="str">
        <f>IF(F72="","",IF(AND($R$1=1,NOT(ISERR(YEAR(D72)))),TEXT(D72,"ГГММДД")&amp;"-","")&amp;IF(F72&lt;&gt;"_",IF(LEN(F72)&lt;4,LEFT("00",3-LEN(F72)),"")&amp;F72,""))&amp;IF(E72&lt;&gt;"_", "-"&amp;E72,"")</f>
        <v>240115-222a-env-f</v>
      </c>
      <c r="H72" t="str">
        <f>C72&amp;B72</f>
        <v>G9</v>
      </c>
      <c r="I72" t="str">
        <f>C72&amp;IF(LEN(B72)=1,"0"&amp;B72,B72)</f>
        <v>G09</v>
      </c>
    </row>
    <row r="73" spans="1:9" x14ac:dyDescent="0.25">
      <c r="A73">
        <v>72</v>
      </c>
      <c r="B73">
        <v>9</v>
      </c>
      <c r="C73" t="s">
        <v>8</v>
      </c>
      <c r="D73" s="26">
        <f>D72</f>
        <v>45306</v>
      </c>
      <c r="E73" s="23" t="s">
        <v>320</v>
      </c>
      <c r="F73" s="2" t="s">
        <v>329</v>
      </c>
      <c r="G73" s="25" t="str">
        <f>IF(F73="","",IF(AND($R$1=1,NOT(ISERR(YEAR(D73)))),TEXT(D73,"ГГММДД")&amp;"-","")&amp;IF(F73&lt;&gt;"_",IF(LEN(F73)&lt;4,LEFT("00",3-LEN(F73)),"")&amp;F73,""))&amp;IF(E73&lt;&gt;"_", "-"&amp;E73,"")</f>
        <v>240115-222a-env-r</v>
      </c>
      <c r="H73" t="str">
        <f>C73&amp;B73</f>
        <v>H9</v>
      </c>
      <c r="I73" t="str">
        <f>C73&amp;IF(LEN(B73)=1,"0"&amp;B73,B73)</f>
        <v>H09</v>
      </c>
    </row>
    <row r="74" spans="1:9" x14ac:dyDescent="0.25">
      <c r="A74">
        <v>73</v>
      </c>
      <c r="B74">
        <v>10</v>
      </c>
      <c r="C74" t="s">
        <v>1</v>
      </c>
      <c r="D74" s="26">
        <f>D73</f>
        <v>45306</v>
      </c>
      <c r="E74" s="23" t="s">
        <v>313</v>
      </c>
      <c r="F74" s="2" t="s">
        <v>330</v>
      </c>
      <c r="G74" s="25" t="str">
        <f>IF(F74="","",IF(AND($R$1=1,NOT(ISERR(YEAR(D74)))),TEXT(D74,"ГГММДД")&amp;"-","")&amp;IF(F74&lt;&gt;"_",IF(LEN(F74)&lt;4,LEFT("00",3-LEN(F74)),"")&amp;F74,""))&amp;IF(E74&lt;&gt;"_", "-"&amp;E74,"")</f>
        <v>240115-226a-env-f</v>
      </c>
      <c r="H74" t="str">
        <f>C74&amp;B74</f>
        <v>A10</v>
      </c>
      <c r="I74" t="str">
        <f>C74&amp;IF(LEN(B74)=1,"0"&amp;B74,B74)</f>
        <v>A10</v>
      </c>
    </row>
    <row r="75" spans="1:9" x14ac:dyDescent="0.25">
      <c r="A75">
        <v>74</v>
      </c>
      <c r="B75">
        <v>10</v>
      </c>
      <c r="C75" t="s">
        <v>2</v>
      </c>
      <c r="D75" s="26">
        <f>D74</f>
        <v>45306</v>
      </c>
      <c r="E75" s="23" t="s">
        <v>320</v>
      </c>
      <c r="F75" s="2" t="s">
        <v>330</v>
      </c>
      <c r="G75" s="25" t="str">
        <f>IF(F75="","",IF(AND($R$1=1,NOT(ISERR(YEAR(D75)))),TEXT(D75,"ГГММДД")&amp;"-","")&amp;IF(F75&lt;&gt;"_",IF(LEN(F75)&lt;4,LEFT("00",3-LEN(F75)),"")&amp;F75,""))&amp;IF(E75&lt;&gt;"_", "-"&amp;E75,"")</f>
        <v>240115-226a-env-r</v>
      </c>
      <c r="H75" t="str">
        <f>C75&amp;B75</f>
        <v>B10</v>
      </c>
      <c r="I75" t="str">
        <f>C75&amp;IF(LEN(B75)=1,"0"&amp;B75,B75)</f>
        <v>B10</v>
      </c>
    </row>
    <row r="76" spans="1:9" x14ac:dyDescent="0.25">
      <c r="A76">
        <v>75</v>
      </c>
      <c r="B76">
        <v>10</v>
      </c>
      <c r="C76" t="s">
        <v>3</v>
      </c>
      <c r="D76" s="26">
        <f>D75</f>
        <v>45306</v>
      </c>
      <c r="E76" s="23" t="s">
        <v>313</v>
      </c>
      <c r="F76" s="2" t="s">
        <v>331</v>
      </c>
      <c r="G76" s="25" t="str">
        <f>IF(F76="","",IF(AND($R$1=1,NOT(ISERR(YEAR(D76)))),TEXT(D76,"ГГММДД")&amp;"-","")&amp;IF(F76&lt;&gt;"_",IF(LEN(F76)&lt;4,LEFT("00",3-LEN(F76)),"")&amp;F76,""))&amp;IF(E76&lt;&gt;"_", "-"&amp;E76,"")</f>
        <v>240115-228a-env-f</v>
      </c>
      <c r="H76" t="str">
        <f>C76&amp;B76</f>
        <v>C10</v>
      </c>
      <c r="I76" t="str">
        <f>C76&amp;IF(LEN(B76)=1,"0"&amp;B76,B76)</f>
        <v>C10</v>
      </c>
    </row>
    <row r="77" spans="1:9" x14ac:dyDescent="0.25">
      <c r="A77">
        <v>76</v>
      </c>
      <c r="B77">
        <v>10</v>
      </c>
      <c r="C77" t="s">
        <v>4</v>
      </c>
      <c r="D77" s="26">
        <f>D76</f>
        <v>45306</v>
      </c>
      <c r="E77" s="23" t="s">
        <v>320</v>
      </c>
      <c r="F77" s="2" t="s">
        <v>331</v>
      </c>
      <c r="G77" s="25" t="str">
        <f>IF(F77="","",IF(AND($R$1=1,NOT(ISERR(YEAR(D77)))),TEXT(D77,"ГГММДД")&amp;"-","")&amp;IF(F77&lt;&gt;"_",IF(LEN(F77)&lt;4,LEFT("00",3-LEN(F77)),"")&amp;F77,""))&amp;IF(E77&lt;&gt;"_", "-"&amp;E77,"")</f>
        <v>240115-228a-env-r</v>
      </c>
      <c r="H77" t="str">
        <f>C77&amp;B77</f>
        <v>D10</v>
      </c>
      <c r="I77" t="str">
        <f>C77&amp;IF(LEN(B77)=1,"0"&amp;B77,B77)</f>
        <v>D10</v>
      </c>
    </row>
    <row r="78" spans="1:9" x14ac:dyDescent="0.25">
      <c r="A78">
        <v>77</v>
      </c>
      <c r="B78">
        <v>10</v>
      </c>
      <c r="C78" t="s">
        <v>5</v>
      </c>
      <c r="D78" s="26">
        <f>D77</f>
        <v>45306</v>
      </c>
      <c r="E78" s="23" t="s">
        <v>313</v>
      </c>
      <c r="F78" s="2" t="s">
        <v>332</v>
      </c>
      <c r="G78" s="25" t="str">
        <f>IF(F78="","",IF(AND($R$1=1,NOT(ISERR(YEAR(D78)))),TEXT(D78,"ГГММДД")&amp;"-","")&amp;IF(F78&lt;&gt;"_",IF(LEN(F78)&lt;4,LEFT("00",3-LEN(F78)),"")&amp;F78,""))&amp;IF(E78&lt;&gt;"_", "-"&amp;E78,"")</f>
        <v>240115-229a-env-f</v>
      </c>
      <c r="H78" t="str">
        <f>C78&amp;B78</f>
        <v>E10</v>
      </c>
      <c r="I78" t="str">
        <f>C78&amp;IF(LEN(B78)=1,"0"&amp;B78,B78)</f>
        <v>E10</v>
      </c>
    </row>
    <row r="79" spans="1:9" x14ac:dyDescent="0.25">
      <c r="A79">
        <v>78</v>
      </c>
      <c r="B79">
        <v>10</v>
      </c>
      <c r="C79" t="s">
        <v>6</v>
      </c>
      <c r="D79" s="26">
        <f>D78</f>
        <v>45306</v>
      </c>
      <c r="E79" s="23" t="s">
        <v>320</v>
      </c>
      <c r="F79" s="2" t="s">
        <v>332</v>
      </c>
      <c r="G79" s="25" t="str">
        <f>IF(F79="","",IF(AND($R$1=1,NOT(ISERR(YEAR(D79)))),TEXT(D79,"ГГММДД")&amp;"-","")&amp;IF(F79&lt;&gt;"_",IF(LEN(F79)&lt;4,LEFT("00",3-LEN(F79)),"")&amp;F79,""))&amp;IF(E79&lt;&gt;"_", "-"&amp;E79,"")</f>
        <v>240115-229a-env-r</v>
      </c>
      <c r="H79" t="str">
        <f>C79&amp;B79</f>
        <v>F10</v>
      </c>
      <c r="I79" t="str">
        <f>C79&amp;IF(LEN(B79)=1,"0"&amp;B79,B79)</f>
        <v>F10</v>
      </c>
    </row>
    <row r="80" spans="1:9" x14ac:dyDescent="0.25">
      <c r="A80">
        <v>79</v>
      </c>
      <c r="B80">
        <v>10</v>
      </c>
      <c r="C80" t="s">
        <v>7</v>
      </c>
      <c r="D80" s="26">
        <f>D79</f>
        <v>45306</v>
      </c>
      <c r="E80" s="23" t="s">
        <v>313</v>
      </c>
      <c r="F80" s="2" t="s">
        <v>333</v>
      </c>
      <c r="G80" s="25" t="str">
        <f>IF(F80="","",IF(AND($R$1=1,NOT(ISERR(YEAR(D80)))),TEXT(D80,"ГГММДД")&amp;"-","")&amp;IF(F80&lt;&gt;"_",IF(LEN(F80)&lt;4,LEFT("00",3-LEN(F80)),"")&amp;F80,""))&amp;IF(E80&lt;&gt;"_", "-"&amp;E80,"")</f>
        <v>240115-231a-env-f</v>
      </c>
      <c r="H80" t="str">
        <f>C80&amp;B80</f>
        <v>G10</v>
      </c>
      <c r="I80" t="str">
        <f>C80&amp;IF(LEN(B80)=1,"0"&amp;B80,B80)</f>
        <v>G10</v>
      </c>
    </row>
    <row r="81" spans="1:9" x14ac:dyDescent="0.25">
      <c r="A81">
        <v>80</v>
      </c>
      <c r="B81">
        <v>10</v>
      </c>
      <c r="C81" t="s">
        <v>8</v>
      </c>
      <c r="D81" s="26">
        <f>D80</f>
        <v>45306</v>
      </c>
      <c r="E81" s="23" t="s">
        <v>320</v>
      </c>
      <c r="F81" s="2" t="s">
        <v>333</v>
      </c>
      <c r="G81" s="25" t="str">
        <f>IF(F81="","",IF(AND($R$1=1,NOT(ISERR(YEAR(D81)))),TEXT(D81,"ГГММДД")&amp;"-","")&amp;IF(F81&lt;&gt;"_",IF(LEN(F81)&lt;4,LEFT("00",3-LEN(F81)),"")&amp;F81,""))&amp;IF(E81&lt;&gt;"_", "-"&amp;E81,"")</f>
        <v>240115-231a-env-r</v>
      </c>
      <c r="H81" t="str">
        <f>C81&amp;B81</f>
        <v>H10</v>
      </c>
      <c r="I81" t="str">
        <f>C81&amp;IF(LEN(B81)=1,"0"&amp;B81,B81)</f>
        <v>H10</v>
      </c>
    </row>
    <row r="82" spans="1:9" x14ac:dyDescent="0.25">
      <c r="A82">
        <v>81</v>
      </c>
      <c r="B82">
        <v>11</v>
      </c>
      <c r="C82" t="s">
        <v>1</v>
      </c>
      <c r="D82" s="26">
        <f>D81</f>
        <v>45306</v>
      </c>
      <c r="E82" s="23" t="s">
        <v>313</v>
      </c>
      <c r="F82" s="2" t="s">
        <v>334</v>
      </c>
      <c r="G82" s="25" t="str">
        <f>IF(F82="","",IF(AND($R$1=1,NOT(ISERR(YEAR(D82)))),TEXT(D82,"ГГММДД")&amp;"-","")&amp;IF(F82&lt;&gt;"_",IF(LEN(F82)&lt;4,LEFT("00",3-LEN(F82)),"")&amp;F82,""))&amp;IF(E82&lt;&gt;"_", "-"&amp;E82,"")</f>
        <v>240115-232a-env-f</v>
      </c>
      <c r="H82" t="str">
        <f>C82&amp;B82</f>
        <v>A11</v>
      </c>
      <c r="I82" t="str">
        <f>C82&amp;IF(LEN(B82)=1,"0"&amp;B82,B82)</f>
        <v>A11</v>
      </c>
    </row>
    <row r="83" spans="1:9" x14ac:dyDescent="0.25">
      <c r="A83">
        <v>82</v>
      </c>
      <c r="B83">
        <v>11</v>
      </c>
      <c r="C83" t="s">
        <v>2</v>
      </c>
      <c r="D83" s="26">
        <f>D82</f>
        <v>45306</v>
      </c>
      <c r="E83" s="23" t="s">
        <v>320</v>
      </c>
      <c r="F83" s="2" t="s">
        <v>334</v>
      </c>
      <c r="G83" s="25" t="str">
        <f>IF(F83="","",IF(AND($R$1=1,NOT(ISERR(YEAR(D83)))),TEXT(D83,"ГГММДД")&amp;"-","")&amp;IF(F83&lt;&gt;"_",IF(LEN(F83)&lt;4,LEFT("00",3-LEN(F83)),"")&amp;F83,""))&amp;IF(E83&lt;&gt;"_", "-"&amp;E83,"")</f>
        <v>240115-232a-env-r</v>
      </c>
      <c r="H83" t="str">
        <f>C83&amp;B83</f>
        <v>B11</v>
      </c>
      <c r="I83" t="str">
        <f>C83&amp;IF(LEN(B83)=1,"0"&amp;B83,B83)</f>
        <v>B11</v>
      </c>
    </row>
    <row r="84" spans="1:9" x14ac:dyDescent="0.25">
      <c r="A84">
        <v>83</v>
      </c>
      <c r="B84">
        <v>11</v>
      </c>
      <c r="C84" t="s">
        <v>3</v>
      </c>
      <c r="D84" s="26">
        <f>D83</f>
        <v>45306</v>
      </c>
      <c r="E84" s="23" t="s">
        <v>313</v>
      </c>
      <c r="F84" s="2" t="s">
        <v>335</v>
      </c>
      <c r="G84" s="25" t="str">
        <f>IF(F84="","",IF(AND($R$1=1,NOT(ISERR(YEAR(D84)))),TEXT(D84,"ГГММДД")&amp;"-","")&amp;IF(F84&lt;&gt;"_",IF(LEN(F84)&lt;4,LEFT("00",3-LEN(F84)),"")&amp;F84,""))&amp;IF(E84&lt;&gt;"_", "-"&amp;E84,"")</f>
        <v>240115-234a-env-f</v>
      </c>
      <c r="H84" t="str">
        <f>C84&amp;B84</f>
        <v>C11</v>
      </c>
      <c r="I84" t="str">
        <f>C84&amp;IF(LEN(B84)=1,"0"&amp;B84,B84)</f>
        <v>C11</v>
      </c>
    </row>
    <row r="85" spans="1:9" x14ac:dyDescent="0.25">
      <c r="A85">
        <v>84</v>
      </c>
      <c r="B85">
        <v>11</v>
      </c>
      <c r="C85" t="s">
        <v>4</v>
      </c>
      <c r="D85" s="26">
        <f>D84</f>
        <v>45306</v>
      </c>
      <c r="E85" s="23" t="s">
        <v>320</v>
      </c>
      <c r="F85" s="2" t="s">
        <v>335</v>
      </c>
      <c r="G85" s="25" t="str">
        <f>IF(F85="","",IF(AND($R$1=1,NOT(ISERR(YEAR(D85)))),TEXT(D85,"ГГММДД")&amp;"-","")&amp;IF(F85&lt;&gt;"_",IF(LEN(F85)&lt;4,LEFT("00",3-LEN(F85)),"")&amp;F85,""))&amp;IF(E85&lt;&gt;"_", "-"&amp;E85,"")</f>
        <v>240115-234a-env-r</v>
      </c>
      <c r="H85" t="str">
        <f>C85&amp;B85</f>
        <v>D11</v>
      </c>
      <c r="I85" t="str">
        <f>C85&amp;IF(LEN(B85)=1,"0"&amp;B85,B85)</f>
        <v>D11</v>
      </c>
    </row>
    <row r="86" spans="1:9" x14ac:dyDescent="0.25">
      <c r="A86">
        <v>85</v>
      </c>
      <c r="B86">
        <v>11</v>
      </c>
      <c r="C86" t="s">
        <v>5</v>
      </c>
      <c r="D86" s="26">
        <f>D85</f>
        <v>45306</v>
      </c>
      <c r="E86" s="23" t="s">
        <v>313</v>
      </c>
      <c r="F86" s="2" t="s">
        <v>336</v>
      </c>
      <c r="G86" s="25" t="str">
        <f>IF(F86="","",IF(AND($R$1=1,NOT(ISERR(YEAR(D86)))),TEXT(D86,"ГГММДД")&amp;"-","")&amp;IF(F86&lt;&gt;"_",IF(LEN(F86)&lt;4,LEFT("00",3-LEN(F86)),"")&amp;F86,""))&amp;IF(E86&lt;&gt;"_", "-"&amp;E86,"")</f>
        <v>240115-235a-env-f</v>
      </c>
      <c r="H86" t="str">
        <f>C86&amp;B86</f>
        <v>E11</v>
      </c>
      <c r="I86" t="str">
        <f>C86&amp;IF(LEN(B86)=1,"0"&amp;B86,B86)</f>
        <v>E11</v>
      </c>
    </row>
    <row r="87" spans="1:9" x14ac:dyDescent="0.25">
      <c r="A87">
        <v>86</v>
      </c>
      <c r="B87">
        <v>11</v>
      </c>
      <c r="C87" t="s">
        <v>6</v>
      </c>
      <c r="D87" s="26">
        <f>D86</f>
        <v>45306</v>
      </c>
      <c r="E87" s="23" t="s">
        <v>320</v>
      </c>
      <c r="F87" s="2" t="s">
        <v>336</v>
      </c>
      <c r="G87" s="25" t="str">
        <f>IF(F87="","",IF(AND($R$1=1,NOT(ISERR(YEAR(D87)))),TEXT(D87,"ГГММДД")&amp;"-","")&amp;IF(F87&lt;&gt;"_",IF(LEN(F87)&lt;4,LEFT("00",3-LEN(F87)),"")&amp;F87,""))&amp;IF(E87&lt;&gt;"_", "-"&amp;E87,"")</f>
        <v>240115-235a-env-r</v>
      </c>
      <c r="H87" t="str">
        <f>C87&amp;B87</f>
        <v>F11</v>
      </c>
      <c r="I87" t="str">
        <f>C87&amp;IF(LEN(B87)=1,"0"&amp;B87,B87)</f>
        <v>F11</v>
      </c>
    </row>
    <row r="88" spans="1:9" x14ac:dyDescent="0.25">
      <c r="A88">
        <v>87</v>
      </c>
      <c r="B88">
        <v>11</v>
      </c>
      <c r="C88" t="s">
        <v>7</v>
      </c>
      <c r="D88" s="26">
        <f>D87</f>
        <v>45306</v>
      </c>
      <c r="E88" s="23" t="s">
        <v>313</v>
      </c>
      <c r="F88" s="2" t="s">
        <v>337</v>
      </c>
      <c r="G88" s="25" t="str">
        <f>IF(F88="","",IF(AND($R$1=1,NOT(ISERR(YEAR(D88)))),TEXT(D88,"ГГММДД")&amp;"-","")&amp;IF(F88&lt;&gt;"_",IF(LEN(F88)&lt;4,LEFT("00",3-LEN(F88)),"")&amp;F88,""))&amp;IF(E88&lt;&gt;"_", "-"&amp;E88,"")</f>
        <v>240115-239a-env-f</v>
      </c>
      <c r="H88" t="str">
        <f>C88&amp;B88</f>
        <v>G11</v>
      </c>
      <c r="I88" t="str">
        <f>C88&amp;IF(LEN(B88)=1,"0"&amp;B88,B88)</f>
        <v>G11</v>
      </c>
    </row>
    <row r="89" spans="1:9" x14ac:dyDescent="0.25">
      <c r="A89">
        <v>88</v>
      </c>
      <c r="B89">
        <v>11</v>
      </c>
      <c r="C89" t="s">
        <v>8</v>
      </c>
      <c r="D89" s="26">
        <f>D88</f>
        <v>45306</v>
      </c>
      <c r="E89" s="23" t="s">
        <v>320</v>
      </c>
      <c r="F89" s="2" t="s">
        <v>337</v>
      </c>
      <c r="G89" s="25" t="str">
        <f>IF(F89="","",IF(AND($R$1=1,NOT(ISERR(YEAR(D89)))),TEXT(D89,"ГГММДД")&amp;"-","")&amp;IF(F89&lt;&gt;"_",IF(LEN(F89)&lt;4,LEFT("00",3-LEN(F89)),"")&amp;F89,""))&amp;IF(E89&lt;&gt;"_", "-"&amp;E89,"")</f>
        <v>240115-239a-env-r</v>
      </c>
      <c r="H89" t="str">
        <f>C89&amp;B89</f>
        <v>H11</v>
      </c>
      <c r="I89" t="str">
        <f>C89&amp;IF(LEN(B89)=1,"0"&amp;B89,B89)</f>
        <v>H11</v>
      </c>
    </row>
    <row r="90" spans="1:9" x14ac:dyDescent="0.25">
      <c r="A90">
        <v>89</v>
      </c>
      <c r="B90">
        <v>12</v>
      </c>
      <c r="C90" t="s">
        <v>1</v>
      </c>
      <c r="D90" s="26">
        <f>D89</f>
        <v>45306</v>
      </c>
      <c r="E90" s="23" t="s">
        <v>313</v>
      </c>
      <c r="F90" s="2" t="s">
        <v>338</v>
      </c>
      <c r="G90" s="25" t="str">
        <f>IF(F90="","",IF(AND($R$1=1,NOT(ISERR(YEAR(D90)))),TEXT(D90,"ГГММДД")&amp;"-","")&amp;IF(F90&lt;&gt;"_",IF(LEN(F90)&lt;4,LEFT("00",3-LEN(F90)),"")&amp;F90,""))&amp;IF(E90&lt;&gt;"_", "-"&amp;E90,"")</f>
        <v>240115-240a-env-f</v>
      </c>
      <c r="H90" t="str">
        <f>C90&amp;B90</f>
        <v>A12</v>
      </c>
      <c r="I90" t="str">
        <f>C90&amp;IF(LEN(B90)=1,"0"&amp;B90,B90)</f>
        <v>A12</v>
      </c>
    </row>
    <row r="91" spans="1:9" x14ac:dyDescent="0.25">
      <c r="A91">
        <v>90</v>
      </c>
      <c r="B91">
        <v>12</v>
      </c>
      <c r="C91" t="s">
        <v>2</v>
      </c>
      <c r="D91" s="26">
        <f>D90</f>
        <v>45306</v>
      </c>
      <c r="E91" s="23" t="s">
        <v>320</v>
      </c>
      <c r="F91" s="2" t="s">
        <v>338</v>
      </c>
      <c r="G91" s="25" t="str">
        <f>IF(F91="","",IF(AND($R$1=1,NOT(ISERR(YEAR(D91)))),TEXT(D91,"ГГММДД")&amp;"-","")&amp;IF(F91&lt;&gt;"_",IF(LEN(F91)&lt;4,LEFT("00",3-LEN(F91)),"")&amp;F91,""))&amp;IF(E91&lt;&gt;"_", "-"&amp;E91,"")</f>
        <v>240115-240a-env-r</v>
      </c>
      <c r="H91" t="str">
        <f>C91&amp;B91</f>
        <v>B12</v>
      </c>
      <c r="I91" t="str">
        <f>C91&amp;IF(LEN(B91)=1,"0"&amp;B91,B91)</f>
        <v>B12</v>
      </c>
    </row>
    <row r="92" spans="1:9" x14ac:dyDescent="0.25">
      <c r="A92">
        <v>91</v>
      </c>
      <c r="B92">
        <v>12</v>
      </c>
      <c r="C92" t="s">
        <v>3</v>
      </c>
      <c r="D92" s="26">
        <f>D91</f>
        <v>45306</v>
      </c>
      <c r="E92" s="23" t="s">
        <v>313</v>
      </c>
      <c r="F92" s="2" t="s">
        <v>324</v>
      </c>
      <c r="G92" s="25" t="str">
        <f>IF(F92="","",IF(AND($R$1=1,NOT(ISERR(YEAR(D92)))),TEXT(D92,"ГГММДД")&amp;"-","")&amp;IF(F92&lt;&gt;"_",IF(LEN(F92)&lt;4,LEFT("00",3-LEN(F92)),"")&amp;F92,""))&amp;IF(E92&lt;&gt;"_", "-"&amp;E92,"")</f>
        <v>240115-241a-env-f</v>
      </c>
      <c r="H92" t="str">
        <f>C92&amp;B92</f>
        <v>C12</v>
      </c>
      <c r="I92" t="str">
        <f>C92&amp;IF(LEN(B92)=1,"0"&amp;B92,B92)</f>
        <v>C12</v>
      </c>
    </row>
    <row r="93" spans="1:9" x14ac:dyDescent="0.25">
      <c r="A93">
        <v>92</v>
      </c>
      <c r="B93">
        <v>12</v>
      </c>
      <c r="C93" t="s">
        <v>4</v>
      </c>
      <c r="D93" s="26">
        <f>D92</f>
        <v>45306</v>
      </c>
      <c r="E93" s="23" t="s">
        <v>320</v>
      </c>
      <c r="F93" s="2" t="s">
        <v>324</v>
      </c>
      <c r="G93" s="25" t="str">
        <f>IF(F93="","",IF(AND($R$1=1,NOT(ISERR(YEAR(D93)))),TEXT(D93,"ГГММДД")&amp;"-","")&amp;IF(F93&lt;&gt;"_",IF(LEN(F93)&lt;4,LEFT("00",3-LEN(F93)),"")&amp;F93,""))&amp;IF(E93&lt;&gt;"_", "-"&amp;E93,"")</f>
        <v>240115-241a-env-r</v>
      </c>
      <c r="H93" t="str">
        <f>C93&amp;B93</f>
        <v>D12</v>
      </c>
      <c r="I93" t="str">
        <f>C93&amp;IF(LEN(B93)=1,"0"&amp;B93,B93)</f>
        <v>D12</v>
      </c>
    </row>
    <row r="94" spans="1:9" x14ac:dyDescent="0.25">
      <c r="A94">
        <v>93</v>
      </c>
      <c r="B94">
        <v>12</v>
      </c>
      <c r="C94" t="s">
        <v>5</v>
      </c>
      <c r="D94" s="26">
        <f>D93</f>
        <v>45306</v>
      </c>
      <c r="E94" s="23" t="s">
        <v>313</v>
      </c>
      <c r="F94" s="2" t="s">
        <v>339</v>
      </c>
      <c r="G94" s="25" t="str">
        <f>IF(F94="","",IF(AND($R$1=1,NOT(ISERR(YEAR(D94)))),TEXT(D94,"ГГММДД")&amp;"-","")&amp;IF(F94&lt;&gt;"_",IF(LEN(F94)&lt;4,LEFT("00",3-LEN(F94)),"")&amp;F94,""))&amp;IF(E94&lt;&gt;"_", "-"&amp;E94,"")</f>
        <v>240115-243a-env-f</v>
      </c>
      <c r="H94" t="str">
        <f>C94&amp;B94</f>
        <v>E12</v>
      </c>
      <c r="I94" t="str">
        <f>C94&amp;IF(LEN(B94)=1,"0"&amp;B94,B94)</f>
        <v>E12</v>
      </c>
    </row>
    <row r="95" spans="1:9" x14ac:dyDescent="0.25">
      <c r="A95">
        <v>94</v>
      </c>
      <c r="B95">
        <v>12</v>
      </c>
      <c r="C95" t="s">
        <v>6</v>
      </c>
      <c r="D95" s="26">
        <f>D94</f>
        <v>45306</v>
      </c>
      <c r="E95" s="23" t="s">
        <v>320</v>
      </c>
      <c r="F95" s="2" t="s">
        <v>339</v>
      </c>
      <c r="G95" s="25" t="str">
        <f>IF(F95="","",IF(AND($R$1=1,NOT(ISERR(YEAR(D95)))),TEXT(D95,"ГГММДД")&amp;"-","")&amp;IF(F95&lt;&gt;"_",IF(LEN(F95)&lt;4,LEFT("00",3-LEN(F95)),"")&amp;F95,""))&amp;IF(E95&lt;&gt;"_", "-"&amp;E95,"")</f>
        <v>240115-243a-env-r</v>
      </c>
      <c r="H95" t="str">
        <f>C95&amp;B95</f>
        <v>F12</v>
      </c>
      <c r="I95" t="str">
        <f>C95&amp;IF(LEN(B95)=1,"0"&amp;B95,B95)</f>
        <v>F12</v>
      </c>
    </row>
    <row r="96" spans="1:9" x14ac:dyDescent="0.25">
      <c r="A96">
        <v>95</v>
      </c>
      <c r="B96">
        <v>12</v>
      </c>
      <c r="C96" t="s">
        <v>7</v>
      </c>
      <c r="D96" s="26">
        <f>D95</f>
        <v>45306</v>
      </c>
      <c r="E96" s="23" t="s">
        <v>313</v>
      </c>
      <c r="F96" s="2" t="s">
        <v>340</v>
      </c>
      <c r="G96" s="25" t="str">
        <f>IF(F96="","",IF(AND($R$1=1,NOT(ISERR(YEAR(D96)))),TEXT(D96,"ГГММДД")&amp;"-","")&amp;IF(F96&lt;&gt;"_",IF(LEN(F96)&lt;4,LEFT("00",3-LEN(F96)),"")&amp;F96,""))&amp;IF(E96&lt;&gt;"_", "-"&amp;E96,"")</f>
        <v>240115-244a-env-f</v>
      </c>
      <c r="H96" t="str">
        <f>C96&amp;B96</f>
        <v>G12</v>
      </c>
      <c r="I96" t="str">
        <f>C96&amp;IF(LEN(B96)=1,"0"&amp;B96,B96)</f>
        <v>G12</v>
      </c>
    </row>
    <row r="97" spans="1:9" x14ac:dyDescent="0.25">
      <c r="A97">
        <v>96</v>
      </c>
      <c r="B97">
        <v>12</v>
      </c>
      <c r="C97" t="s">
        <v>8</v>
      </c>
      <c r="D97" s="26">
        <f>D96</f>
        <v>45306</v>
      </c>
      <c r="E97" s="23" t="s">
        <v>320</v>
      </c>
      <c r="F97" s="2" t="s">
        <v>340</v>
      </c>
      <c r="G97" s="25" t="str">
        <f>IF(F97="","",IF(AND($R$1=1,NOT(ISERR(YEAR(D97)))),TEXT(D97,"ГГММДД")&amp;"-","")&amp;IF(F97&lt;&gt;"_",IF(LEN(F97)&lt;4,LEFT("00",3-LEN(F97)),"")&amp;F97,""))&amp;IF(E97&lt;&gt;"_", "-"&amp;E97,"")</f>
        <v>240115-244a-env-r</v>
      </c>
      <c r="H97" t="str">
        <f>C97&amp;B97</f>
        <v>H12</v>
      </c>
      <c r="I97" t="str">
        <f>C97&amp;IF(LEN(B97)=1,"0"&amp;B97,B97)</f>
        <v>H12</v>
      </c>
    </row>
    <row r="98" spans="1:9" x14ac:dyDescent="0.25">
      <c r="I98" t="str">
        <f t="shared" ref="I98:I129" si="0">C98&amp;IF(LEN(B98)=1,"0"&amp;B98,B98)</f>
        <v/>
      </c>
    </row>
    <row r="99" spans="1:9" x14ac:dyDescent="0.25">
      <c r="I99" t="str">
        <f t="shared" si="0"/>
        <v/>
      </c>
    </row>
    <row r="100" spans="1:9" x14ac:dyDescent="0.25">
      <c r="I100" t="str">
        <f t="shared" si="0"/>
        <v/>
      </c>
    </row>
    <row r="101" spans="1:9" x14ac:dyDescent="0.25">
      <c r="I101" t="str">
        <f t="shared" si="0"/>
        <v/>
      </c>
    </row>
    <row r="102" spans="1:9" x14ac:dyDescent="0.25">
      <c r="I102" t="str">
        <f t="shared" si="0"/>
        <v/>
      </c>
    </row>
    <row r="103" spans="1:9" x14ac:dyDescent="0.25">
      <c r="I103" t="str">
        <f t="shared" si="0"/>
        <v/>
      </c>
    </row>
    <row r="104" spans="1:9" x14ac:dyDescent="0.25">
      <c r="I104" t="str">
        <f t="shared" si="0"/>
        <v/>
      </c>
    </row>
    <row r="105" spans="1:9" x14ac:dyDescent="0.25">
      <c r="I105" t="str">
        <f t="shared" si="0"/>
        <v/>
      </c>
    </row>
    <row r="106" spans="1:9" x14ac:dyDescent="0.25">
      <c r="I106" t="str">
        <f t="shared" si="0"/>
        <v/>
      </c>
    </row>
    <row r="107" spans="1:9" x14ac:dyDescent="0.25">
      <c r="I107" t="str">
        <f t="shared" si="0"/>
        <v/>
      </c>
    </row>
    <row r="108" spans="1:9" x14ac:dyDescent="0.25">
      <c r="I108" t="str">
        <f t="shared" si="0"/>
        <v/>
      </c>
    </row>
    <row r="109" spans="1:9" x14ac:dyDescent="0.25">
      <c r="I109" t="str">
        <f t="shared" si="0"/>
        <v/>
      </c>
    </row>
    <row r="110" spans="1:9" x14ac:dyDescent="0.25">
      <c r="I110" t="str">
        <f t="shared" si="0"/>
        <v/>
      </c>
    </row>
    <row r="111" spans="1:9" x14ac:dyDescent="0.25">
      <c r="I111" t="str">
        <f t="shared" si="0"/>
        <v/>
      </c>
    </row>
    <row r="112" spans="1:9" x14ac:dyDescent="0.25">
      <c r="I112" t="str">
        <f t="shared" si="0"/>
        <v/>
      </c>
    </row>
    <row r="113" spans="9:9" x14ac:dyDescent="0.25">
      <c r="I113" t="str">
        <f t="shared" si="0"/>
        <v/>
      </c>
    </row>
    <row r="114" spans="9:9" x14ac:dyDescent="0.25">
      <c r="I114" t="str">
        <f t="shared" si="0"/>
        <v/>
      </c>
    </row>
    <row r="115" spans="9:9" x14ac:dyDescent="0.25">
      <c r="I115" t="str">
        <f t="shared" si="0"/>
        <v/>
      </c>
    </row>
    <row r="116" spans="9:9" x14ac:dyDescent="0.25">
      <c r="I116" t="str">
        <f t="shared" si="0"/>
        <v/>
      </c>
    </row>
    <row r="117" spans="9:9" x14ac:dyDescent="0.25">
      <c r="I117" t="str">
        <f t="shared" si="0"/>
        <v/>
      </c>
    </row>
    <row r="118" spans="9:9" x14ac:dyDescent="0.25">
      <c r="I118" t="str">
        <f t="shared" si="0"/>
        <v/>
      </c>
    </row>
    <row r="119" spans="9:9" x14ac:dyDescent="0.25">
      <c r="I119" t="str">
        <f t="shared" si="0"/>
        <v/>
      </c>
    </row>
    <row r="120" spans="9:9" x14ac:dyDescent="0.25">
      <c r="I120" t="str">
        <f t="shared" si="0"/>
        <v/>
      </c>
    </row>
    <row r="121" spans="9:9" x14ac:dyDescent="0.25">
      <c r="I121" t="str">
        <f t="shared" si="0"/>
        <v/>
      </c>
    </row>
    <row r="122" spans="9:9" x14ac:dyDescent="0.25">
      <c r="I122" t="str">
        <f t="shared" si="0"/>
        <v/>
      </c>
    </row>
    <row r="123" spans="9:9" x14ac:dyDescent="0.25">
      <c r="I123" t="str">
        <f t="shared" si="0"/>
        <v/>
      </c>
    </row>
    <row r="124" spans="9:9" x14ac:dyDescent="0.25">
      <c r="I124" t="str">
        <f t="shared" si="0"/>
        <v/>
      </c>
    </row>
    <row r="125" spans="9:9" x14ac:dyDescent="0.25">
      <c r="I125" t="str">
        <f t="shared" si="0"/>
        <v/>
      </c>
    </row>
    <row r="126" spans="9:9" x14ac:dyDescent="0.25">
      <c r="I126" t="str">
        <f t="shared" si="0"/>
        <v/>
      </c>
    </row>
    <row r="127" spans="9:9" x14ac:dyDescent="0.25">
      <c r="I127" t="str">
        <f t="shared" si="0"/>
        <v/>
      </c>
    </row>
    <row r="128" spans="9:9" x14ac:dyDescent="0.25">
      <c r="I128" t="str">
        <f t="shared" si="0"/>
        <v/>
      </c>
    </row>
    <row r="129" spans="9:9" x14ac:dyDescent="0.25">
      <c r="I129" t="str">
        <f t="shared" si="0"/>
        <v/>
      </c>
    </row>
    <row r="130" spans="9:9" x14ac:dyDescent="0.25">
      <c r="I130" t="str">
        <f t="shared" ref="I130:I142" si="1">C130&amp;IF(LEN(B130)=1,"0"&amp;B130,B130)</f>
        <v/>
      </c>
    </row>
    <row r="131" spans="9:9" x14ac:dyDescent="0.25">
      <c r="I131" t="str">
        <f t="shared" si="1"/>
        <v/>
      </c>
    </row>
    <row r="132" spans="9:9" x14ac:dyDescent="0.25">
      <c r="I132" t="str">
        <f t="shared" si="1"/>
        <v/>
      </c>
    </row>
    <row r="133" spans="9:9" x14ac:dyDescent="0.25">
      <c r="I133" t="str">
        <f t="shared" si="1"/>
        <v/>
      </c>
    </row>
    <row r="134" spans="9:9" x14ac:dyDescent="0.25">
      <c r="I134" t="str">
        <f t="shared" si="1"/>
        <v/>
      </c>
    </row>
    <row r="135" spans="9:9" x14ac:dyDescent="0.25">
      <c r="I135" t="str">
        <f t="shared" si="1"/>
        <v/>
      </c>
    </row>
    <row r="136" spans="9:9" x14ac:dyDescent="0.25">
      <c r="I136" t="str">
        <f t="shared" si="1"/>
        <v/>
      </c>
    </row>
    <row r="137" spans="9:9" x14ac:dyDescent="0.25">
      <c r="I137" t="str">
        <f t="shared" si="1"/>
        <v/>
      </c>
    </row>
    <row r="138" spans="9:9" x14ac:dyDescent="0.25">
      <c r="I138" t="str">
        <f t="shared" si="1"/>
        <v/>
      </c>
    </row>
    <row r="139" spans="9:9" x14ac:dyDescent="0.25">
      <c r="I139" t="str">
        <f t="shared" si="1"/>
        <v/>
      </c>
    </row>
    <row r="140" spans="9:9" x14ac:dyDescent="0.25">
      <c r="I140" t="str">
        <f t="shared" si="1"/>
        <v/>
      </c>
    </row>
    <row r="141" spans="9:9" x14ac:dyDescent="0.25">
      <c r="I141" t="str">
        <f t="shared" si="1"/>
        <v/>
      </c>
    </row>
    <row r="142" spans="9:9" x14ac:dyDescent="0.25">
      <c r="I142" t="str">
        <f t="shared" si="1"/>
        <v/>
      </c>
    </row>
    <row r="143" spans="9:9" x14ac:dyDescent="0.25">
      <c r="I143" t="str">
        <f t="shared" ref="I143:I161" si="2">C143&amp;IF(LEN(B143)=1,"0"&amp;B143,B143)</f>
        <v/>
      </c>
    </row>
    <row r="144" spans="9:9" x14ac:dyDescent="0.25">
      <c r="I144" t="str">
        <f t="shared" si="2"/>
        <v/>
      </c>
    </row>
    <row r="145" spans="9:9" x14ac:dyDescent="0.25">
      <c r="I145" t="str">
        <f t="shared" si="2"/>
        <v/>
      </c>
    </row>
    <row r="146" spans="9:9" x14ac:dyDescent="0.25">
      <c r="I146" t="str">
        <f t="shared" si="2"/>
        <v/>
      </c>
    </row>
    <row r="147" spans="9:9" x14ac:dyDescent="0.25">
      <c r="I147" t="str">
        <f t="shared" si="2"/>
        <v/>
      </c>
    </row>
    <row r="148" spans="9:9" x14ac:dyDescent="0.25">
      <c r="I148" t="str">
        <f t="shared" si="2"/>
        <v/>
      </c>
    </row>
    <row r="149" spans="9:9" x14ac:dyDescent="0.25">
      <c r="I149" t="str">
        <f t="shared" si="2"/>
        <v/>
      </c>
    </row>
    <row r="150" spans="9:9" x14ac:dyDescent="0.25">
      <c r="I150" t="str">
        <f t="shared" si="2"/>
        <v/>
      </c>
    </row>
    <row r="151" spans="9:9" x14ac:dyDescent="0.25">
      <c r="I151" t="str">
        <f t="shared" si="2"/>
        <v/>
      </c>
    </row>
    <row r="152" spans="9:9" x14ac:dyDescent="0.25">
      <c r="I152" t="str">
        <f t="shared" si="2"/>
        <v/>
      </c>
    </row>
    <row r="153" spans="9:9" x14ac:dyDescent="0.25">
      <c r="I153" t="str">
        <f t="shared" si="2"/>
        <v/>
      </c>
    </row>
    <row r="154" spans="9:9" x14ac:dyDescent="0.25">
      <c r="I154" t="str">
        <f t="shared" si="2"/>
        <v/>
      </c>
    </row>
    <row r="155" spans="9:9" x14ac:dyDescent="0.25">
      <c r="I155" t="str">
        <f t="shared" si="2"/>
        <v/>
      </c>
    </row>
    <row r="156" spans="9:9" x14ac:dyDescent="0.25">
      <c r="I156" t="str">
        <f t="shared" si="2"/>
        <v/>
      </c>
    </row>
    <row r="157" spans="9:9" x14ac:dyDescent="0.25">
      <c r="I157" t="str">
        <f t="shared" si="2"/>
        <v/>
      </c>
    </row>
    <row r="158" spans="9:9" x14ac:dyDescent="0.25">
      <c r="I158" t="str">
        <f t="shared" si="2"/>
        <v/>
      </c>
    </row>
    <row r="159" spans="9:9" x14ac:dyDescent="0.25">
      <c r="I159" t="str">
        <f t="shared" si="2"/>
        <v/>
      </c>
    </row>
    <row r="160" spans="9:9" x14ac:dyDescent="0.25">
      <c r="I160" t="str">
        <f t="shared" si="2"/>
        <v/>
      </c>
    </row>
    <row r="161" spans="9:9" x14ac:dyDescent="0.25">
      <c r="I161" t="str">
        <f t="shared" si="2"/>
        <v/>
      </c>
    </row>
    <row r="162" spans="9:9" x14ac:dyDescent="0.25">
      <c r="I162" t="str">
        <f t="shared" ref="I162:I185" si="3">C162&amp;IF(LEN(B162)=1,"0"&amp;B162,B162)</f>
        <v/>
      </c>
    </row>
    <row r="163" spans="9:9" x14ac:dyDescent="0.25">
      <c r="I163" t="str">
        <f t="shared" si="3"/>
        <v/>
      </c>
    </row>
    <row r="164" spans="9:9" x14ac:dyDescent="0.25">
      <c r="I164" t="str">
        <f t="shared" si="3"/>
        <v/>
      </c>
    </row>
    <row r="165" spans="9:9" x14ac:dyDescent="0.25">
      <c r="I165" t="str">
        <f t="shared" si="3"/>
        <v/>
      </c>
    </row>
    <row r="166" spans="9:9" x14ac:dyDescent="0.25">
      <c r="I166" t="str">
        <f t="shared" si="3"/>
        <v/>
      </c>
    </row>
    <row r="167" spans="9:9" x14ac:dyDescent="0.25">
      <c r="I167" t="str">
        <f t="shared" si="3"/>
        <v/>
      </c>
    </row>
    <row r="168" spans="9:9" x14ac:dyDescent="0.25">
      <c r="I168" t="str">
        <f t="shared" si="3"/>
        <v/>
      </c>
    </row>
    <row r="169" spans="9:9" x14ac:dyDescent="0.25">
      <c r="I169" t="str">
        <f t="shared" si="3"/>
        <v/>
      </c>
    </row>
    <row r="170" spans="9:9" x14ac:dyDescent="0.25">
      <c r="I170" t="str">
        <f t="shared" si="3"/>
        <v/>
      </c>
    </row>
    <row r="171" spans="9:9" x14ac:dyDescent="0.25">
      <c r="I171" t="str">
        <f t="shared" si="3"/>
        <v/>
      </c>
    </row>
    <row r="172" spans="9:9" x14ac:dyDescent="0.25">
      <c r="I172" t="str">
        <f t="shared" si="3"/>
        <v/>
      </c>
    </row>
    <row r="173" spans="9:9" x14ac:dyDescent="0.25">
      <c r="I173" t="str">
        <f t="shared" si="3"/>
        <v/>
      </c>
    </row>
    <row r="174" spans="9:9" x14ac:dyDescent="0.25">
      <c r="I174" t="str">
        <f t="shared" si="3"/>
        <v/>
      </c>
    </row>
    <row r="175" spans="9:9" x14ac:dyDescent="0.25">
      <c r="I175" t="str">
        <f t="shared" si="3"/>
        <v/>
      </c>
    </row>
    <row r="176" spans="9:9" x14ac:dyDescent="0.25">
      <c r="I176" t="str">
        <f t="shared" si="3"/>
        <v/>
      </c>
    </row>
    <row r="177" spans="9:9" x14ac:dyDescent="0.25">
      <c r="I177" t="str">
        <f t="shared" si="3"/>
        <v/>
      </c>
    </row>
    <row r="178" spans="9:9" x14ac:dyDescent="0.25">
      <c r="I178" t="str">
        <f t="shared" si="3"/>
        <v/>
      </c>
    </row>
    <row r="179" spans="9:9" x14ac:dyDescent="0.25">
      <c r="I179" t="str">
        <f t="shared" si="3"/>
        <v/>
      </c>
    </row>
    <row r="180" spans="9:9" x14ac:dyDescent="0.25">
      <c r="I180" t="str">
        <f t="shared" si="3"/>
        <v/>
      </c>
    </row>
    <row r="181" spans="9:9" x14ac:dyDescent="0.25">
      <c r="I181" t="str">
        <f t="shared" si="3"/>
        <v/>
      </c>
    </row>
    <row r="182" spans="9:9" x14ac:dyDescent="0.25">
      <c r="I182" t="str">
        <f t="shared" si="3"/>
        <v/>
      </c>
    </row>
    <row r="183" spans="9:9" x14ac:dyDescent="0.25">
      <c r="I183" t="str">
        <f t="shared" si="3"/>
        <v/>
      </c>
    </row>
    <row r="184" spans="9:9" x14ac:dyDescent="0.25">
      <c r="I184" t="str">
        <f t="shared" si="3"/>
        <v/>
      </c>
    </row>
    <row r="185" spans="9:9" x14ac:dyDescent="0.25">
      <c r="I185" t="str">
        <f t="shared" si="3"/>
        <v/>
      </c>
    </row>
  </sheetData>
  <conditionalFormatting sqref="G2:G11">
    <cfRule type="duplicateValues" dxfId="2" priority="1"/>
    <cfRule type="duplicateValues" dxfId="1" priority="2"/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2"/>
  <dimension ref="A1:T9"/>
  <sheetViews>
    <sheetView tabSelected="1" view="pageBreakPreview" zoomScale="70" zoomScaleNormal="85" zoomScaleSheetLayoutView="70" workbookViewId="0">
      <selection activeCell="E8" sqref="E8:E9"/>
    </sheetView>
  </sheetViews>
  <sheetFormatPr defaultRowHeight="15" x14ac:dyDescent="0.25"/>
  <cols>
    <col min="1" max="1" width="4.7109375" customWidth="1"/>
    <col min="2" max="13" width="11.85546875" customWidth="1"/>
  </cols>
  <sheetData>
    <row r="1" spans="1:20" ht="39" x14ac:dyDescent="0.25">
      <c r="A1" s="9"/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T1" t="s">
        <v>216</v>
      </c>
    </row>
    <row r="2" spans="1:20" ht="65.25" customHeight="1" x14ac:dyDescent="0.3">
      <c r="A2" s="5" t="s">
        <v>1</v>
      </c>
      <c r="B2" s="13" t="str">
        <f>IFERROR(INDEX(Data!$G$1:$G$400,MATCH($A2&amp;B$1,Data!$H$1:$H$400,0),1),"")</f>
        <v>240115-1195-p1</v>
      </c>
      <c r="C2" s="13" t="str">
        <f>IFERROR(INDEX(Data!$G$1:$G$400,MATCH($A2&amp;C$1,Data!$H$1:$H$400,0),1),"")</f>
        <v>240115-1198-p1</v>
      </c>
      <c r="D2" s="13" t="str">
        <f>IFERROR(INDEX(Data!$G$1:$G$400,MATCH($A2&amp;D$1,Data!$H$1:$H$400,0),1),"")</f>
        <v>240115-1199-p1</v>
      </c>
      <c r="E2" s="13" t="str">
        <f>IFERROR(INDEX(Data!$G$1:$G$400,MATCH($A2&amp;E$1,Data!$H$1:$H$400,0),1),"")</f>
        <v>240115-1196-env-f</v>
      </c>
      <c r="F2" s="13" t="str">
        <f>IFERROR(INDEX(Data!$G$1:$G$400,MATCH($A2&amp;F$1,Data!$H$1:$H$400,0),1),"")</f>
        <v>240115-1202-env-f</v>
      </c>
      <c r="G2" s="13" t="str">
        <f>IFERROR(INDEX(Data!$G$1:$G$400,MATCH($A2&amp;G$1,Data!$H$1:$H$400,0),1),"")</f>
        <v>240115-1206-env-f</v>
      </c>
      <c r="H2" s="13" t="str">
        <f>IFERROR(INDEX(Data!$G$1:$G$400,MATCH($A2&amp;H$1,Data!$H$1:$H$400,0),1),"")</f>
        <v>240115-1210-env-f</v>
      </c>
      <c r="I2" s="13" t="str">
        <f>IFERROR(INDEX(Data!$G$1:$G$400,MATCH($A2&amp;I$1,Data!$H$1:$H$400,0),1),"")</f>
        <v>240115-188a-env-f</v>
      </c>
      <c r="J2" s="13" t="str">
        <f>IFERROR(INDEX(Data!$G$1:$G$400,MATCH($A2&amp;J$1,Data!$H$1:$H$400,0),1),"")</f>
        <v>240115-216a-env-f</v>
      </c>
      <c r="K2" s="13" t="str">
        <f>IFERROR(INDEX(Data!$G$1:$G$400,MATCH($A2&amp;K$1,Data!$H$1:$H$400,0),1),"")</f>
        <v>240115-226a-env-f</v>
      </c>
      <c r="L2" s="13" t="str">
        <f>IFERROR(INDEX(Data!$G$1:$G$400,MATCH($A2&amp;L$1,Data!$H$1:$H$400,0),1),"")</f>
        <v>240115-232a-env-f</v>
      </c>
      <c r="M2" s="13" t="str">
        <f>IFERROR(INDEX(Data!$G$1:$G$400,MATCH($A2&amp;M$1,Data!$H$1:$H$400,0),1),"")</f>
        <v>240115-240a-env-f</v>
      </c>
    </row>
    <row r="3" spans="1:20" ht="65.25" customHeight="1" x14ac:dyDescent="0.3">
      <c r="A3" s="5" t="s">
        <v>2</v>
      </c>
      <c r="B3" s="13" t="str">
        <f>IFERROR(INDEX(Data!$G$1:$G$400,MATCH($A3&amp;B$1,Data!$H$1:$H$400,0),1),"")</f>
        <v>240115-1195-p2</v>
      </c>
      <c r="C3" s="13" t="str">
        <f>IFERROR(INDEX(Data!$G$1:$G$400,MATCH($A3&amp;C$1,Data!$H$1:$H$400,0),1),"")</f>
        <v>240115-1198-p2</v>
      </c>
      <c r="D3" s="13" t="str">
        <f>IFERROR(INDEX(Data!$G$1:$G$400,MATCH($A3&amp;D$1,Data!$H$1:$H$400,0),1),"")</f>
        <v>240115-1199-p2</v>
      </c>
      <c r="E3" s="13" t="str">
        <f>IFERROR(INDEX(Data!$G$1:$G$400,MATCH($A3&amp;E$1,Data!$H$1:$H$400,0),1),"")</f>
        <v>240115-1196-env-r</v>
      </c>
      <c r="F3" s="13" t="str">
        <f>IFERROR(INDEX(Data!$G$1:$G$400,MATCH($A3&amp;F$1,Data!$H$1:$H$400,0),1),"")</f>
        <v>240115-1202-env-r</v>
      </c>
      <c r="G3" s="13" t="str">
        <f>IFERROR(INDEX(Data!$G$1:$G$400,MATCH($A3&amp;G$1,Data!$H$1:$H$400,0),1),"")</f>
        <v>240115-1206-env-r</v>
      </c>
      <c r="H3" s="13" t="str">
        <f>IFERROR(INDEX(Data!$G$1:$G$400,MATCH($A3&amp;H$1,Data!$H$1:$H$400,0),1),"")</f>
        <v>240115-1210-env-r</v>
      </c>
      <c r="I3" s="13" t="str">
        <f>IFERROR(INDEX(Data!$G$1:$G$400,MATCH($A3&amp;I$1,Data!$H$1:$H$400,0),1),"")</f>
        <v>240115-188a-env-r</v>
      </c>
      <c r="J3" s="13" t="str">
        <f>IFERROR(INDEX(Data!$G$1:$G$400,MATCH($A3&amp;J$1,Data!$H$1:$H$400,0),1),"")</f>
        <v>240115-216a-env-r</v>
      </c>
      <c r="K3" s="13" t="str">
        <f>IFERROR(INDEX(Data!$G$1:$G$400,MATCH($A3&amp;K$1,Data!$H$1:$H$400,0),1),"")</f>
        <v>240115-226a-env-r</v>
      </c>
      <c r="L3" s="13" t="str">
        <f>IFERROR(INDEX(Data!$G$1:$G$400,MATCH($A3&amp;L$1,Data!$H$1:$H$400,0),1),"")</f>
        <v>240115-232a-env-r</v>
      </c>
      <c r="M3" s="13" t="str">
        <f>IFERROR(INDEX(Data!$G$1:$G$400,MATCH($A3&amp;M$1,Data!$H$1:$H$400,0),1),"")</f>
        <v>240115-240a-env-r</v>
      </c>
    </row>
    <row r="4" spans="1:20" ht="65.25" customHeight="1" x14ac:dyDescent="0.3">
      <c r="A4" s="5" t="s">
        <v>3</v>
      </c>
      <c r="B4" s="13" t="str">
        <f>IFERROR(INDEX(Data!$G$1:$G$400,MATCH($A4&amp;B$1,Data!$H$1:$H$400,0),1),"")</f>
        <v>240115-1195-r1</v>
      </c>
      <c r="C4" s="13" t="str">
        <f>IFERROR(INDEX(Data!$G$1:$G$400,MATCH($A4&amp;C$1,Data!$H$1:$H$400,0),1),"")</f>
        <v>240115-1198-r1</v>
      </c>
      <c r="D4" s="13" t="str">
        <f>IFERROR(INDEX(Data!$G$1:$G$400,MATCH($A4&amp;D$1,Data!$H$1:$H$400,0),1),"")</f>
        <v>240115-1199-r1</v>
      </c>
      <c r="E4" s="13" t="str">
        <f>IFERROR(INDEX(Data!$G$1:$G$400,MATCH($A4&amp;E$1,Data!$H$1:$H$400,0),1),"")</f>
        <v>240115-1197-env-f</v>
      </c>
      <c r="F4" s="13" t="str">
        <f>IFERROR(INDEX(Data!$G$1:$G$400,MATCH($A4&amp;F$1,Data!$H$1:$H$400,0),1),"")</f>
        <v>240115-1203-env-f</v>
      </c>
      <c r="G4" s="13" t="str">
        <f>IFERROR(INDEX(Data!$G$1:$G$400,MATCH($A4&amp;G$1,Data!$H$1:$H$400,0),1),"")</f>
        <v>240115-1207-env-f</v>
      </c>
      <c r="H4" s="13" t="str">
        <f>IFERROR(INDEX(Data!$G$1:$G$400,MATCH($A4&amp;H$1,Data!$H$1:$H$400,0),1),"")</f>
        <v>240115-1211-env-f</v>
      </c>
      <c r="I4" s="13" t="str">
        <f>IFERROR(INDEX(Data!$G$1:$G$400,MATCH($A4&amp;I$1,Data!$H$1:$H$400,0),1),"")</f>
        <v>240115-191a-env-f</v>
      </c>
      <c r="J4" s="13" t="str">
        <f>IFERROR(INDEX(Data!$G$1:$G$400,MATCH($A4&amp;J$1,Data!$H$1:$H$400,0),1),"")</f>
        <v>240115-219a-env-f</v>
      </c>
      <c r="K4" s="13" t="str">
        <f>IFERROR(INDEX(Data!$G$1:$G$400,MATCH($A4&amp;K$1,Data!$H$1:$H$400,0),1),"")</f>
        <v>240115-228a-env-f</v>
      </c>
      <c r="L4" s="13" t="str">
        <f>IFERROR(INDEX(Data!$G$1:$G$400,MATCH($A4&amp;L$1,Data!$H$1:$H$400,0),1),"")</f>
        <v>240115-234a-env-f</v>
      </c>
      <c r="M4" s="13" t="str">
        <f>IFERROR(INDEX(Data!$G$1:$G$400,MATCH($A4&amp;M$1,Data!$H$1:$H$400,0),1),"")</f>
        <v>240115-241a-env-f</v>
      </c>
    </row>
    <row r="5" spans="1:20" ht="65.25" customHeight="1" x14ac:dyDescent="0.3">
      <c r="A5" s="5" t="s">
        <v>4</v>
      </c>
      <c r="B5" s="13" t="str">
        <f>IFERROR(INDEX(Data!$G$1:$G$400,MATCH($A5&amp;B$1,Data!$H$1:$H$400,0),1),"")</f>
        <v>240115-1195-r2</v>
      </c>
      <c r="C5" s="13" t="str">
        <f>IFERROR(INDEX(Data!$G$1:$G$400,MATCH($A5&amp;C$1,Data!$H$1:$H$400,0),1),"")</f>
        <v>240115-1198-r2</v>
      </c>
      <c r="D5" s="13" t="str">
        <f>IFERROR(INDEX(Data!$G$1:$G$400,MATCH($A5&amp;D$1,Data!$H$1:$H$400,0),1),"")</f>
        <v>240115-1199-r2</v>
      </c>
      <c r="E5" s="13" t="str">
        <f>IFERROR(INDEX(Data!$G$1:$G$400,MATCH($A5&amp;E$1,Data!$H$1:$H$400,0),1),"")</f>
        <v>240115-1197-env-r</v>
      </c>
      <c r="F5" s="13" t="str">
        <f>IFERROR(INDEX(Data!$G$1:$G$400,MATCH($A5&amp;F$1,Data!$H$1:$H$400,0),1),"")</f>
        <v>240115-1203-env-r</v>
      </c>
      <c r="G5" s="13" t="str">
        <f>IFERROR(INDEX(Data!$G$1:$G$400,MATCH($A5&amp;G$1,Data!$H$1:$H$400,0),1),"")</f>
        <v>240115-1207-env-r</v>
      </c>
      <c r="H5" s="13" t="str">
        <f>IFERROR(INDEX(Data!$G$1:$G$400,MATCH($A5&amp;H$1,Data!$H$1:$H$400,0),1),"")</f>
        <v>240115-1211-env-r</v>
      </c>
      <c r="I5" s="13" t="str">
        <f>IFERROR(INDEX(Data!$G$1:$G$400,MATCH($A5&amp;I$1,Data!$H$1:$H$400,0),1),"")</f>
        <v>240115-191a-env-r</v>
      </c>
      <c r="J5" s="13" t="str">
        <f>IFERROR(INDEX(Data!$G$1:$G$400,MATCH($A5&amp;J$1,Data!$H$1:$H$400,0),1),"")</f>
        <v>240115-219a-env-r</v>
      </c>
      <c r="K5" s="13" t="str">
        <f>IFERROR(INDEX(Data!$G$1:$G$400,MATCH($A5&amp;K$1,Data!$H$1:$H$400,0),1),"")</f>
        <v>240115-228a-env-r</v>
      </c>
      <c r="L5" s="13" t="str">
        <f>IFERROR(INDEX(Data!$G$1:$G$400,MATCH($A5&amp;L$1,Data!$H$1:$H$400,0),1),"")</f>
        <v>240115-234a-env-r</v>
      </c>
      <c r="M5" s="13" t="str">
        <f>IFERROR(INDEX(Data!$G$1:$G$400,MATCH($A5&amp;M$1,Data!$H$1:$H$400,0),1),"")</f>
        <v>240115-241a-env-r</v>
      </c>
    </row>
    <row r="6" spans="1:20" ht="65.25" customHeight="1" x14ac:dyDescent="0.3">
      <c r="A6" s="5" t="s">
        <v>5</v>
      </c>
      <c r="B6" s="13" t="str">
        <f>IFERROR(INDEX(Data!$G$1:$G$400,MATCH($A6&amp;B$1,Data!$H$1:$H$400,0),1),"")</f>
        <v>240115-1195-r3</v>
      </c>
      <c r="C6" s="13" t="str">
        <f>IFERROR(INDEX(Data!$G$1:$G$400,MATCH($A6&amp;C$1,Data!$H$1:$H$400,0),1),"")</f>
        <v>240115-1198-r3</v>
      </c>
      <c r="D6" s="13" t="str">
        <f>IFERROR(INDEX(Data!$G$1:$G$400,MATCH($A6&amp;D$1,Data!$H$1:$H$400,0),1),"")</f>
        <v>240115-1199-r3</v>
      </c>
      <c r="E6" s="13" t="str">
        <f>IFERROR(INDEX(Data!$G$1:$G$400,MATCH($A6&amp;E$1,Data!$H$1:$H$400,0),1),"")</f>
        <v>240115-1200-env-f</v>
      </c>
      <c r="F6" s="13" t="str">
        <f>IFERROR(INDEX(Data!$G$1:$G$400,MATCH($A6&amp;F$1,Data!$H$1:$H$400,0),1),"")</f>
        <v>240115-1204-env-f</v>
      </c>
      <c r="G6" s="13" t="str">
        <f>IFERROR(INDEX(Data!$G$1:$G$400,MATCH($A6&amp;G$1,Data!$H$1:$H$400,0),1),"")</f>
        <v>240115-1208-env-f</v>
      </c>
      <c r="H6" s="13" t="str">
        <f>IFERROR(INDEX(Data!$G$1:$G$400,MATCH($A6&amp;H$1,Data!$H$1:$H$400,0),1),"")</f>
        <v>240115-1212-env-f</v>
      </c>
      <c r="I6" s="13" t="str">
        <f>IFERROR(INDEX(Data!$G$1:$G$400,MATCH($A6&amp;I$1,Data!$H$1:$H$400,0),1),"")</f>
        <v>240115-213a-env-f</v>
      </c>
      <c r="J6" s="13" t="str">
        <f>IFERROR(INDEX(Data!$G$1:$G$400,MATCH($A6&amp;J$1,Data!$H$1:$H$400,0),1),"")</f>
        <v>240115-220a-env-f</v>
      </c>
      <c r="K6" s="13" t="str">
        <f>IFERROR(INDEX(Data!$G$1:$G$400,MATCH($A6&amp;K$1,Data!$H$1:$H$400,0),1),"")</f>
        <v>240115-229a-env-f</v>
      </c>
      <c r="L6" s="13" t="str">
        <f>IFERROR(INDEX(Data!$G$1:$G$400,MATCH($A6&amp;L$1,Data!$H$1:$H$400,0),1),"")</f>
        <v>240115-235a-env-f</v>
      </c>
      <c r="M6" s="13" t="str">
        <f>IFERROR(INDEX(Data!$G$1:$G$400,MATCH($A6&amp;M$1,Data!$H$1:$H$400,0),1),"")</f>
        <v>240115-243a-env-f</v>
      </c>
    </row>
    <row r="7" spans="1:20" ht="65.25" customHeight="1" x14ac:dyDescent="0.3">
      <c r="A7" s="5" t="s">
        <v>6</v>
      </c>
      <c r="B7" s="13" t="str">
        <f>IFERROR(INDEX(Data!$G$1:$G$400,MATCH($A7&amp;B$1,Data!$H$1:$H$400,0),1),"")</f>
        <v>240115-1195-r4</v>
      </c>
      <c r="C7" s="13" t="str">
        <f>IFERROR(INDEX(Data!$G$1:$G$400,MATCH($A7&amp;C$1,Data!$H$1:$H$400,0),1),"")</f>
        <v>240115-1198-r4</v>
      </c>
      <c r="D7" s="13" t="str">
        <f>IFERROR(INDEX(Data!$G$1:$G$400,MATCH($A7&amp;D$1,Data!$H$1:$H$400,0),1),"")</f>
        <v>240115-1199-r4</v>
      </c>
      <c r="E7" s="13" t="str">
        <f>IFERROR(INDEX(Data!$G$1:$G$400,MATCH($A7&amp;E$1,Data!$H$1:$H$400,0),1),"")</f>
        <v>240115-1200-env-r</v>
      </c>
      <c r="F7" s="13" t="str">
        <f>IFERROR(INDEX(Data!$G$1:$G$400,MATCH($A7&amp;F$1,Data!$H$1:$H$400,0),1),"")</f>
        <v>240115-1204-env-r</v>
      </c>
      <c r="G7" s="13" t="str">
        <f>IFERROR(INDEX(Data!$G$1:$G$400,MATCH($A7&amp;G$1,Data!$H$1:$H$400,0),1),"")</f>
        <v>240115-1208-env-r</v>
      </c>
      <c r="H7" s="13" t="str">
        <f>IFERROR(INDEX(Data!$G$1:$G$400,MATCH($A7&amp;H$1,Data!$H$1:$H$400,0),1),"")</f>
        <v>240115-1212-env-r</v>
      </c>
      <c r="I7" s="13" t="str">
        <f>IFERROR(INDEX(Data!$G$1:$G$400,MATCH($A7&amp;I$1,Data!$H$1:$H$400,0),1),"")</f>
        <v>240115-213a-env-r</v>
      </c>
      <c r="J7" s="13" t="str">
        <f>IFERROR(INDEX(Data!$G$1:$G$400,MATCH($A7&amp;J$1,Data!$H$1:$H$400,0),1),"")</f>
        <v>240115-220a-env-r</v>
      </c>
      <c r="K7" s="13" t="str">
        <f>IFERROR(INDEX(Data!$G$1:$G$400,MATCH($A7&amp;K$1,Data!$H$1:$H$400,0),1),"")</f>
        <v>240115-229a-env-r</v>
      </c>
      <c r="L7" s="13" t="str">
        <f>IFERROR(INDEX(Data!$G$1:$G$400,MATCH($A7&amp;L$1,Data!$H$1:$H$400,0),1),"")</f>
        <v>240115-235a-env-r</v>
      </c>
      <c r="M7" s="13" t="str">
        <f>IFERROR(INDEX(Data!$G$1:$G$400,MATCH($A7&amp;M$1,Data!$H$1:$H$400,0),1),"")</f>
        <v>240115-243a-env-r</v>
      </c>
    </row>
    <row r="8" spans="1:20" ht="65.25" customHeight="1" x14ac:dyDescent="0.3">
      <c r="A8" s="5" t="s">
        <v>7</v>
      </c>
      <c r="B8" s="13" t="str">
        <f>IFERROR(INDEX(Data!$G$1:$G$400,MATCH($A8&amp;B$1,Data!$H$1:$H$400,0),1),"")</f>
        <v>240115-1195-env-f</v>
      </c>
      <c r="C8" s="13" t="str">
        <f>IFERROR(INDEX(Data!$G$1:$G$400,MATCH($A8&amp;C$1,Data!$H$1:$H$400,0),1),"")</f>
        <v>240115-1198-env-f</v>
      </c>
      <c r="D8" s="13" t="str">
        <f>IFERROR(INDEX(Data!$G$1:$G$400,MATCH($A8&amp;D$1,Data!$H$1:$H$400,0),1),"")</f>
        <v>240115-1199-env-f</v>
      </c>
      <c r="E8" s="13" t="str">
        <f>IFERROR(INDEX(Data!$G$1:$G$400,MATCH($A8&amp;E$1,Data!$H$1:$H$400,0),1),"")</f>
        <v>240115-1201-env-f</v>
      </c>
      <c r="F8" s="13" t="str">
        <f>IFERROR(INDEX(Data!$G$1:$G$400,MATCH($A8&amp;F$1,Data!$H$1:$H$400,0),1),"")</f>
        <v>240115-1205-env-f</v>
      </c>
      <c r="G8" s="13" t="str">
        <f>IFERROR(INDEX(Data!$G$1:$G$400,MATCH($A8&amp;G$1,Data!$H$1:$H$400,0),1),"")</f>
        <v>240115-1209-env-f</v>
      </c>
      <c r="H8" s="13" t="str">
        <f>IFERROR(INDEX(Data!$G$1:$G$400,MATCH($A8&amp;H$1,Data!$H$1:$H$400,0),1),"")</f>
        <v>240115-1213-env-f</v>
      </c>
      <c r="I8" s="13" t="str">
        <f>IFERROR(INDEX(Data!$G$1:$G$400,MATCH($A8&amp;I$1,Data!$H$1:$H$400,0),1),"")</f>
        <v>240115-214a-env-f</v>
      </c>
      <c r="J8" s="13" t="str">
        <f>IFERROR(INDEX(Data!$G$1:$G$400,MATCH($A8&amp;J$1,Data!$H$1:$H$400,0),1),"")</f>
        <v>240115-222a-env-f</v>
      </c>
      <c r="K8" s="13" t="str">
        <f>IFERROR(INDEX(Data!$G$1:$G$400,MATCH($A8&amp;K$1,Data!$H$1:$H$400,0),1),"")</f>
        <v>240115-231a-env-f</v>
      </c>
      <c r="L8" s="13" t="str">
        <f>IFERROR(INDEX(Data!$G$1:$G$400,MATCH($A8&amp;L$1,Data!$H$1:$H$400,0),1),"")</f>
        <v>240115-239a-env-f</v>
      </c>
      <c r="M8" s="13" t="str">
        <f>IFERROR(INDEX(Data!$G$1:$G$400,MATCH($A8&amp;M$1,Data!$H$1:$H$400,0),1),"")</f>
        <v>240115-244a-env-f</v>
      </c>
    </row>
    <row r="9" spans="1:20" ht="65.25" customHeight="1" x14ac:dyDescent="0.3">
      <c r="A9" s="5" t="s">
        <v>8</v>
      </c>
      <c r="B9" s="13" t="str">
        <f>IFERROR(INDEX(Data!$G$1:$G$400,MATCH($A9&amp;B$1,Data!$H$1:$H$400,0),1),"")</f>
        <v>240115-1195-env-r</v>
      </c>
      <c r="C9" s="13" t="str">
        <f>IFERROR(INDEX(Data!$G$1:$G$400,MATCH($A9&amp;C$1,Data!$H$1:$H$400,0),1),"")</f>
        <v>240115-1198-env-r</v>
      </c>
      <c r="D9" s="13" t="str">
        <f>IFERROR(INDEX(Data!$G$1:$G$400,MATCH($A9&amp;D$1,Data!$H$1:$H$400,0),1),"")</f>
        <v>240115-1199-env-r</v>
      </c>
      <c r="E9" s="13" t="str">
        <f>IFERROR(INDEX(Data!$G$1:$G$400,MATCH($A9&amp;E$1,Data!$H$1:$H$400,0),1),"")</f>
        <v>240115-1201-env-r</v>
      </c>
      <c r="F9" s="13" t="str">
        <f>IFERROR(INDEX(Data!$G$1:$G$400,MATCH($A9&amp;F$1,Data!$H$1:$H$400,0),1),"")</f>
        <v>240115-1205-env-r</v>
      </c>
      <c r="G9" s="13" t="str">
        <f>IFERROR(INDEX(Data!$G$1:$G$400,MATCH($A9&amp;G$1,Data!$H$1:$H$400,0),1),"")</f>
        <v>240115-1209-env-r</v>
      </c>
      <c r="H9" s="13" t="str">
        <f>IFERROR(INDEX(Data!$G$1:$G$400,MATCH($A9&amp;H$1,Data!$H$1:$H$400,0),1),"")</f>
        <v>240115-1213-env-r</v>
      </c>
      <c r="I9" s="13" t="str">
        <f>IFERROR(INDEX(Data!$G$1:$G$400,MATCH($A9&amp;I$1,Data!$H$1:$H$400,0),1),"")</f>
        <v>240115-214a-env-r</v>
      </c>
      <c r="J9" s="13" t="str">
        <f>IFERROR(INDEX(Data!$G$1:$G$400,MATCH($A9&amp;J$1,Data!$H$1:$H$400,0),1),"")</f>
        <v>240115-222a-env-r</v>
      </c>
      <c r="K9" s="13" t="str">
        <f>IFERROR(INDEX(Data!$G$1:$G$400,MATCH($A9&amp;K$1,Data!$H$1:$H$400,0),1),"")</f>
        <v>240115-231a-env-r</v>
      </c>
      <c r="L9" s="13" t="str">
        <f>IFERROR(INDEX(Data!$G$1:$G$400,MATCH($A9&amp;L$1,Data!$H$1:$H$400,0),1),"")</f>
        <v>240115-239a-env-r</v>
      </c>
      <c r="M9" s="13" t="str">
        <f>IFERROR(INDEX(Data!$G$1:$G$400,MATCH($A9&amp;M$1,Data!$H$1:$H$400,0),1),"")</f>
        <v>240115-244a-env-r</v>
      </c>
    </row>
  </sheetData>
  <conditionalFormatting sqref="B2:M9">
    <cfRule type="duplicateValues" dxfId="0" priority="1"/>
  </conditionalFormatting>
  <pageMargins left="0.70866141732283472" right="0.70866141732283472" top="0.74803149606299213" bottom="0.74803149606299213" header="0.31496062992125984" footer="0.31496062992125984"/>
  <pageSetup paperSize="9" scale="3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4"/>
  <dimension ref="A1:A97"/>
  <sheetViews>
    <sheetView workbookViewId="0"/>
  </sheetViews>
  <sheetFormatPr defaultRowHeight="15" x14ac:dyDescent="0.25"/>
  <cols>
    <col min="1" max="1" width="7.28515625" bestFit="1" customWidth="1"/>
    <col min="2" max="2" width="8.7109375" bestFit="1" customWidth="1"/>
    <col min="3" max="3" width="14" bestFit="1" customWidth="1"/>
    <col min="4" max="4" width="19.7109375" bestFit="1" customWidth="1"/>
  </cols>
  <sheetData>
    <row r="1" spans="1:1" x14ac:dyDescent="0.25">
      <c r="A1" t="s">
        <v>9</v>
      </c>
    </row>
    <row r="2" spans="1:1" ht="14.45" x14ac:dyDescent="0.3">
      <c r="A2" t="s">
        <v>217</v>
      </c>
    </row>
    <row r="3" spans="1:1" ht="14.45" x14ac:dyDescent="0.3">
      <c r="A3" t="s">
        <v>218</v>
      </c>
    </row>
    <row r="4" spans="1:1" ht="14.45" x14ac:dyDescent="0.3">
      <c r="A4" t="s">
        <v>219</v>
      </c>
    </row>
    <row r="5" spans="1:1" ht="14.45" x14ac:dyDescent="0.3">
      <c r="A5" t="s">
        <v>220</v>
      </c>
    </row>
    <row r="6" spans="1:1" ht="14.45" x14ac:dyDescent="0.3">
      <c r="A6" t="s">
        <v>221</v>
      </c>
    </row>
    <row r="7" spans="1:1" ht="14.45" x14ac:dyDescent="0.3">
      <c r="A7" t="s">
        <v>222</v>
      </c>
    </row>
    <row r="8" spans="1:1" ht="14.45" x14ac:dyDescent="0.3">
      <c r="A8" t="s">
        <v>223</v>
      </c>
    </row>
    <row r="9" spans="1:1" ht="14.45" x14ac:dyDescent="0.3">
      <c r="A9" t="s">
        <v>224</v>
      </c>
    </row>
    <row r="10" spans="1:1" ht="14.45" x14ac:dyDescent="0.3">
      <c r="A10" t="s">
        <v>225</v>
      </c>
    </row>
    <row r="11" spans="1:1" ht="14.45" x14ac:dyDescent="0.3">
      <c r="A11" t="s">
        <v>226</v>
      </c>
    </row>
    <row r="12" spans="1:1" ht="14.45" x14ac:dyDescent="0.3">
      <c r="A12" t="s">
        <v>227</v>
      </c>
    </row>
    <row r="13" spans="1:1" ht="14.45" x14ac:dyDescent="0.3">
      <c r="A13" t="s">
        <v>228</v>
      </c>
    </row>
    <row r="14" spans="1:1" ht="14.45" x14ac:dyDescent="0.3">
      <c r="A14" t="s">
        <v>229</v>
      </c>
    </row>
    <row r="15" spans="1:1" ht="14.45" x14ac:dyDescent="0.3">
      <c r="A15" t="s">
        <v>230</v>
      </c>
    </row>
    <row r="16" spans="1:1" ht="14.45" x14ac:dyDescent="0.3">
      <c r="A16" t="s">
        <v>231</v>
      </c>
    </row>
    <row r="17" spans="1:1" ht="14.45" x14ac:dyDescent="0.3">
      <c r="A17" t="s">
        <v>232</v>
      </c>
    </row>
    <row r="18" spans="1:1" ht="14.45" x14ac:dyDescent="0.3">
      <c r="A18" t="s">
        <v>233</v>
      </c>
    </row>
    <row r="19" spans="1:1" ht="14.45" x14ac:dyDescent="0.3">
      <c r="A19" t="s">
        <v>234</v>
      </c>
    </row>
    <row r="20" spans="1:1" ht="14.45" x14ac:dyDescent="0.3">
      <c r="A20" t="s">
        <v>235</v>
      </c>
    </row>
    <row r="21" spans="1:1" ht="14.45" x14ac:dyDescent="0.3">
      <c r="A21" t="s">
        <v>236</v>
      </c>
    </row>
    <row r="22" spans="1:1" x14ac:dyDescent="0.25">
      <c r="A22" t="s">
        <v>237</v>
      </c>
    </row>
    <row r="23" spans="1:1" x14ac:dyDescent="0.25">
      <c r="A23" t="s">
        <v>238</v>
      </c>
    </row>
    <row r="24" spans="1:1" x14ac:dyDescent="0.25">
      <c r="A24" t="s">
        <v>239</v>
      </c>
    </row>
    <row r="25" spans="1:1" x14ac:dyDescent="0.25">
      <c r="A25" t="s">
        <v>240</v>
      </c>
    </row>
    <row r="26" spans="1:1" x14ac:dyDescent="0.25">
      <c r="A26" t="s">
        <v>241</v>
      </c>
    </row>
    <row r="27" spans="1:1" x14ac:dyDescent="0.25">
      <c r="A27" t="s">
        <v>242</v>
      </c>
    </row>
    <row r="28" spans="1:1" x14ac:dyDescent="0.25">
      <c r="A28" t="s">
        <v>243</v>
      </c>
    </row>
    <row r="29" spans="1:1" x14ac:dyDescent="0.25">
      <c r="A29" t="s">
        <v>244</v>
      </c>
    </row>
    <row r="30" spans="1:1" x14ac:dyDescent="0.25">
      <c r="A30" t="s">
        <v>245</v>
      </c>
    </row>
    <row r="31" spans="1:1" x14ac:dyDescent="0.25">
      <c r="A31" t="s">
        <v>246</v>
      </c>
    </row>
    <row r="32" spans="1:1" x14ac:dyDescent="0.25">
      <c r="A32" t="s">
        <v>247</v>
      </c>
    </row>
    <row r="33" spans="1:1" x14ac:dyDescent="0.25">
      <c r="A33" t="s">
        <v>248</v>
      </c>
    </row>
    <row r="34" spans="1:1" x14ac:dyDescent="0.25">
      <c r="A34" t="s">
        <v>249</v>
      </c>
    </row>
    <row r="35" spans="1:1" x14ac:dyDescent="0.25">
      <c r="A35" t="s">
        <v>250</v>
      </c>
    </row>
    <row r="36" spans="1:1" x14ac:dyDescent="0.25">
      <c r="A36" t="s">
        <v>251</v>
      </c>
    </row>
    <row r="37" spans="1:1" x14ac:dyDescent="0.25">
      <c r="A37" t="s">
        <v>252</v>
      </c>
    </row>
    <row r="38" spans="1:1" x14ac:dyDescent="0.25">
      <c r="A38" t="s">
        <v>253</v>
      </c>
    </row>
    <row r="39" spans="1:1" x14ac:dyDescent="0.25">
      <c r="A39" t="s">
        <v>254</v>
      </c>
    </row>
    <row r="40" spans="1:1" x14ac:dyDescent="0.25">
      <c r="A40" t="s">
        <v>255</v>
      </c>
    </row>
    <row r="41" spans="1:1" x14ac:dyDescent="0.25">
      <c r="A41" t="s">
        <v>256</v>
      </c>
    </row>
    <row r="42" spans="1:1" x14ac:dyDescent="0.25">
      <c r="A42" t="s">
        <v>257</v>
      </c>
    </row>
    <row r="43" spans="1:1" x14ac:dyDescent="0.25">
      <c r="A43" t="s">
        <v>258</v>
      </c>
    </row>
    <row r="44" spans="1:1" x14ac:dyDescent="0.25">
      <c r="A44" t="s">
        <v>259</v>
      </c>
    </row>
    <row r="45" spans="1:1" x14ac:dyDescent="0.25">
      <c r="A45" t="s">
        <v>260</v>
      </c>
    </row>
    <row r="46" spans="1:1" x14ac:dyDescent="0.25">
      <c r="A46" t="s">
        <v>261</v>
      </c>
    </row>
    <row r="47" spans="1:1" x14ac:dyDescent="0.25">
      <c r="A47" t="s">
        <v>262</v>
      </c>
    </row>
    <row r="48" spans="1:1" x14ac:dyDescent="0.25">
      <c r="A48" t="s">
        <v>263</v>
      </c>
    </row>
    <row r="49" spans="1:1" x14ac:dyDescent="0.25">
      <c r="A49" t="s">
        <v>264</v>
      </c>
    </row>
    <row r="50" spans="1:1" x14ac:dyDescent="0.25">
      <c r="A50" t="s">
        <v>265</v>
      </c>
    </row>
    <row r="51" spans="1:1" x14ac:dyDescent="0.25">
      <c r="A51" t="s">
        <v>266</v>
      </c>
    </row>
    <row r="52" spans="1:1" x14ac:dyDescent="0.25">
      <c r="A52" t="s">
        <v>267</v>
      </c>
    </row>
    <row r="53" spans="1:1" x14ac:dyDescent="0.25">
      <c r="A53" t="s">
        <v>268</v>
      </c>
    </row>
    <row r="54" spans="1:1" x14ac:dyDescent="0.25">
      <c r="A54" t="s">
        <v>269</v>
      </c>
    </row>
    <row r="55" spans="1:1" x14ac:dyDescent="0.25">
      <c r="A55" t="s">
        <v>270</v>
      </c>
    </row>
    <row r="56" spans="1:1" x14ac:dyDescent="0.25">
      <c r="A56" t="s">
        <v>271</v>
      </c>
    </row>
    <row r="57" spans="1:1" x14ac:dyDescent="0.25">
      <c r="A57" t="s">
        <v>272</v>
      </c>
    </row>
    <row r="58" spans="1:1" x14ac:dyDescent="0.25">
      <c r="A58" t="s">
        <v>273</v>
      </c>
    </row>
    <row r="59" spans="1:1" x14ac:dyDescent="0.25">
      <c r="A59" t="s">
        <v>274</v>
      </c>
    </row>
    <row r="60" spans="1:1" x14ac:dyDescent="0.25">
      <c r="A60" t="s">
        <v>275</v>
      </c>
    </row>
    <row r="61" spans="1:1" x14ac:dyDescent="0.25">
      <c r="A61" t="s">
        <v>276</v>
      </c>
    </row>
    <row r="62" spans="1:1" x14ac:dyDescent="0.25">
      <c r="A62" t="s">
        <v>277</v>
      </c>
    </row>
    <row r="63" spans="1:1" x14ac:dyDescent="0.25">
      <c r="A63" t="s">
        <v>278</v>
      </c>
    </row>
    <row r="64" spans="1:1" x14ac:dyDescent="0.25">
      <c r="A64" t="s">
        <v>279</v>
      </c>
    </row>
    <row r="65" spans="1:1" x14ac:dyDescent="0.25">
      <c r="A65" t="s">
        <v>280</v>
      </c>
    </row>
    <row r="66" spans="1:1" x14ac:dyDescent="0.25">
      <c r="A66" t="s">
        <v>281</v>
      </c>
    </row>
    <row r="67" spans="1:1" x14ac:dyDescent="0.25">
      <c r="A67" t="s">
        <v>282</v>
      </c>
    </row>
    <row r="68" spans="1:1" x14ac:dyDescent="0.25">
      <c r="A68" t="s">
        <v>283</v>
      </c>
    </row>
    <row r="69" spans="1:1" x14ac:dyDescent="0.25">
      <c r="A69" t="s">
        <v>284</v>
      </c>
    </row>
    <row r="70" spans="1:1" x14ac:dyDescent="0.25">
      <c r="A70" t="s">
        <v>285</v>
      </c>
    </row>
    <row r="71" spans="1:1" x14ac:dyDescent="0.25">
      <c r="A71" t="s">
        <v>286</v>
      </c>
    </row>
    <row r="72" spans="1:1" x14ac:dyDescent="0.25">
      <c r="A72" t="s">
        <v>287</v>
      </c>
    </row>
    <row r="73" spans="1:1" x14ac:dyDescent="0.25">
      <c r="A73" t="s">
        <v>288</v>
      </c>
    </row>
    <row r="74" spans="1:1" x14ac:dyDescent="0.25">
      <c r="A74" t="s">
        <v>289</v>
      </c>
    </row>
    <row r="75" spans="1:1" x14ac:dyDescent="0.25">
      <c r="A75" t="s">
        <v>290</v>
      </c>
    </row>
    <row r="76" spans="1:1" x14ac:dyDescent="0.25">
      <c r="A76" t="s">
        <v>291</v>
      </c>
    </row>
    <row r="77" spans="1:1" x14ac:dyDescent="0.25">
      <c r="A77" t="s">
        <v>292</v>
      </c>
    </row>
    <row r="78" spans="1:1" x14ac:dyDescent="0.25">
      <c r="A78" t="s">
        <v>293</v>
      </c>
    </row>
    <row r="79" spans="1:1" x14ac:dyDescent="0.25">
      <c r="A79" t="s">
        <v>294</v>
      </c>
    </row>
    <row r="80" spans="1:1" x14ac:dyDescent="0.25">
      <c r="A80" t="s">
        <v>295</v>
      </c>
    </row>
    <row r="81" spans="1:1" x14ac:dyDescent="0.25">
      <c r="A81" t="s">
        <v>296</v>
      </c>
    </row>
    <row r="82" spans="1:1" x14ac:dyDescent="0.25">
      <c r="A82" t="s">
        <v>297</v>
      </c>
    </row>
    <row r="83" spans="1:1" x14ac:dyDescent="0.25">
      <c r="A83" t="s">
        <v>298</v>
      </c>
    </row>
    <row r="84" spans="1:1" x14ac:dyDescent="0.25">
      <c r="A84" t="s">
        <v>299</v>
      </c>
    </row>
    <row r="85" spans="1:1" x14ac:dyDescent="0.25">
      <c r="A85" t="s">
        <v>300</v>
      </c>
    </row>
    <row r="86" spans="1:1" x14ac:dyDescent="0.25">
      <c r="A86" t="s">
        <v>301</v>
      </c>
    </row>
    <row r="87" spans="1:1" x14ac:dyDescent="0.25">
      <c r="A87" t="s">
        <v>302</v>
      </c>
    </row>
    <row r="88" spans="1:1" x14ac:dyDescent="0.25">
      <c r="A88" t="s">
        <v>303</v>
      </c>
    </row>
    <row r="89" spans="1:1" x14ac:dyDescent="0.25">
      <c r="A89" t="s">
        <v>304</v>
      </c>
    </row>
    <row r="90" spans="1:1" x14ac:dyDescent="0.25">
      <c r="A90" t="s">
        <v>305</v>
      </c>
    </row>
    <row r="91" spans="1:1" x14ac:dyDescent="0.25">
      <c r="A91" t="s">
        <v>306</v>
      </c>
    </row>
    <row r="92" spans="1:1" x14ac:dyDescent="0.25">
      <c r="A92" t="s">
        <v>307</v>
      </c>
    </row>
    <row r="93" spans="1:1" x14ac:dyDescent="0.25">
      <c r="A93" t="s">
        <v>308</v>
      </c>
    </row>
    <row r="94" spans="1:1" x14ac:dyDescent="0.25">
      <c r="A94" t="s">
        <v>309</v>
      </c>
    </row>
    <row r="95" spans="1:1" x14ac:dyDescent="0.25">
      <c r="A95" t="s">
        <v>310</v>
      </c>
    </row>
    <row r="96" spans="1:1" x14ac:dyDescent="0.25">
      <c r="A96" t="s">
        <v>311</v>
      </c>
    </row>
    <row r="97" spans="1:1" x14ac:dyDescent="0.25">
      <c r="A97" t="s">
        <v>312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3"/>
  <dimension ref="A1:N102"/>
  <sheetViews>
    <sheetView zoomScale="70" zoomScaleNormal="70" workbookViewId="0">
      <selection sqref="A1:N1"/>
    </sheetView>
  </sheetViews>
  <sheetFormatPr defaultRowHeight="15" x14ac:dyDescent="0.25"/>
  <cols>
    <col min="1" max="1" width="16.5703125" bestFit="1" customWidth="1"/>
    <col min="2" max="2" width="16" bestFit="1" customWidth="1"/>
    <col min="3" max="3" width="19.85546875" bestFit="1" customWidth="1"/>
    <col min="4" max="4" width="13.42578125" bestFit="1" customWidth="1"/>
    <col min="5" max="5" width="21" bestFit="1" customWidth="1"/>
    <col min="6" max="6" width="12.7109375" bestFit="1" customWidth="1"/>
    <col min="7" max="11" width="19.140625" bestFit="1" customWidth="1"/>
    <col min="12" max="12" width="9.42578125" bestFit="1" customWidth="1"/>
    <col min="13" max="13" width="9.7109375" bestFit="1" customWidth="1"/>
    <col min="14" max="14" width="10.5703125" bestFit="1" customWidth="1"/>
  </cols>
  <sheetData>
    <row r="1" spans="1:14" ht="14.45" x14ac:dyDescent="0.3">
      <c r="A1" s="24" t="s">
        <v>10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ht="14.45" x14ac:dyDescent="0.3"/>
    <row r="3" spans="1:14" ht="14.45" x14ac:dyDescent="0.3">
      <c r="A3" t="s">
        <v>11</v>
      </c>
      <c r="B3" t="s">
        <v>12</v>
      </c>
      <c r="C3" t="s">
        <v>13</v>
      </c>
      <c r="D3" t="s">
        <v>14</v>
      </c>
      <c r="E3" t="s">
        <v>15</v>
      </c>
      <c r="F3" t="s">
        <v>16</v>
      </c>
      <c r="G3" t="s">
        <v>17</v>
      </c>
      <c r="H3" t="s">
        <v>18</v>
      </c>
    </row>
    <row r="4" spans="1:14" ht="14.45" x14ac:dyDescent="0.3">
      <c r="A4" s="2" t="str">
        <f>ID!P1</f>
        <v>230215-COVID-19</v>
      </c>
      <c r="B4" t="s">
        <v>19</v>
      </c>
      <c r="C4">
        <v>50</v>
      </c>
      <c r="D4" t="s">
        <v>20</v>
      </c>
      <c r="E4">
        <v>96</v>
      </c>
    </row>
    <row r="5" spans="1:14" ht="14.45" x14ac:dyDescent="0.3"/>
    <row r="6" spans="1:14" ht="14.45" x14ac:dyDescent="0.3">
      <c r="A6" t="s">
        <v>21</v>
      </c>
      <c r="B6" t="s">
        <v>22</v>
      </c>
      <c r="C6" t="s">
        <v>23</v>
      </c>
      <c r="D6" t="s">
        <v>24</v>
      </c>
      <c r="E6" t="s">
        <v>25</v>
      </c>
      <c r="F6" t="s">
        <v>26</v>
      </c>
      <c r="G6" t="s">
        <v>27</v>
      </c>
      <c r="H6" t="s">
        <v>28</v>
      </c>
      <c r="I6" t="s">
        <v>29</v>
      </c>
      <c r="J6" t="s">
        <v>30</v>
      </c>
      <c r="K6" t="s">
        <v>31</v>
      </c>
      <c r="L6" t="s">
        <v>32</v>
      </c>
      <c r="M6" t="s">
        <v>33</v>
      </c>
      <c r="N6" t="s">
        <v>18</v>
      </c>
    </row>
    <row r="7" spans="1:14" ht="14.45" x14ac:dyDescent="0.3">
      <c r="A7" t="s">
        <v>34</v>
      </c>
      <c r="B7" s="15" t="str">
        <f>IFERROR(INDEX(Data!$G:$G,MATCH(ABI!A7,Data!$I:$I,0),1),"")</f>
        <v>240115-1195-p1</v>
      </c>
      <c r="C7" s="2" t="s">
        <v>35</v>
      </c>
      <c r="D7" s="2" t="s">
        <v>36</v>
      </c>
      <c r="E7" s="2" t="s">
        <v>36</v>
      </c>
      <c r="F7" s="15" t="s">
        <v>37</v>
      </c>
    </row>
    <row r="8" spans="1:14" ht="14.45" x14ac:dyDescent="0.3">
      <c r="A8" t="s">
        <v>38</v>
      </c>
      <c r="B8" t="str">
        <f>IFERROR(INDEX(Data!$G:$G,MATCH(ABI!A8,Data!$I:$I,0),1),"")</f>
        <v>240115-1195-p2</v>
      </c>
      <c r="C8" t="str">
        <f>IF($B8&lt;&gt;"",C$7,"")</f>
        <v>Std_Seq_Assay-POP7</v>
      </c>
      <c r="D8" t="str">
        <f t="shared" ref="D8:F23" si="0">IF($B8&lt;&gt;"",D$7,"")</f>
        <v>HIV</v>
      </c>
      <c r="E8" t="str">
        <f t="shared" si="0"/>
        <v>HIV</v>
      </c>
      <c r="F8" t="str">
        <f t="shared" si="0"/>
        <v>Sample</v>
      </c>
    </row>
    <row r="9" spans="1:14" ht="14.45" x14ac:dyDescent="0.3">
      <c r="A9" t="s">
        <v>39</v>
      </c>
      <c r="B9" t="str">
        <f>IFERROR(INDEX(Data!$G:$G,MATCH(ABI!A9,Data!$I:$I,0),1),"")</f>
        <v>240115-1195-r1</v>
      </c>
      <c r="C9" t="str">
        <f t="shared" ref="C9:F40" si="1">IF($B9&lt;&gt;"",C$7,"")</f>
        <v>Std_Seq_Assay-POP7</v>
      </c>
      <c r="D9" t="str">
        <f t="shared" si="0"/>
        <v>HIV</v>
      </c>
      <c r="E9" t="str">
        <f t="shared" si="0"/>
        <v>HIV</v>
      </c>
      <c r="F9" t="str">
        <f t="shared" si="0"/>
        <v>Sample</v>
      </c>
    </row>
    <row r="10" spans="1:14" ht="14.45" x14ac:dyDescent="0.3">
      <c r="A10" t="s">
        <v>40</v>
      </c>
      <c r="B10" t="str">
        <f>IFERROR(INDEX(Data!$G:$G,MATCH(ABI!A10,Data!$I:$I,0),1),"")</f>
        <v>240115-1195-r2</v>
      </c>
      <c r="C10" t="str">
        <f t="shared" si="1"/>
        <v>Std_Seq_Assay-POP7</v>
      </c>
      <c r="D10" t="str">
        <f t="shared" si="0"/>
        <v>HIV</v>
      </c>
      <c r="E10" t="str">
        <f t="shared" si="0"/>
        <v>HIV</v>
      </c>
      <c r="F10" t="str">
        <f t="shared" si="0"/>
        <v>Sample</v>
      </c>
    </row>
    <row r="11" spans="1:14" ht="14.45" x14ac:dyDescent="0.3">
      <c r="A11" t="s">
        <v>41</v>
      </c>
      <c r="B11" t="str">
        <f>IFERROR(INDEX(Data!$G:$G,MATCH(ABI!A11,Data!$I:$I,0),1),"")</f>
        <v>240115-1195-r3</v>
      </c>
      <c r="C11" t="str">
        <f t="shared" si="1"/>
        <v>Std_Seq_Assay-POP7</v>
      </c>
      <c r="D11" t="str">
        <f t="shared" si="0"/>
        <v>HIV</v>
      </c>
      <c r="E11" t="str">
        <f t="shared" si="0"/>
        <v>HIV</v>
      </c>
      <c r="F11" t="str">
        <f t="shared" si="0"/>
        <v>Sample</v>
      </c>
    </row>
    <row r="12" spans="1:14" ht="14.45" x14ac:dyDescent="0.3">
      <c r="A12" t="s">
        <v>42</v>
      </c>
      <c r="B12" t="str">
        <f>IFERROR(INDEX(Data!$G:$G,MATCH(ABI!A12,Data!$I:$I,0),1),"")</f>
        <v>240115-1195-r4</v>
      </c>
      <c r="C12" t="str">
        <f t="shared" si="1"/>
        <v>Std_Seq_Assay-POP7</v>
      </c>
      <c r="D12" t="str">
        <f t="shared" si="0"/>
        <v>HIV</v>
      </c>
      <c r="E12" t="str">
        <f t="shared" si="0"/>
        <v>HIV</v>
      </c>
      <c r="F12" t="str">
        <f t="shared" si="0"/>
        <v>Sample</v>
      </c>
    </row>
    <row r="13" spans="1:14" ht="14.45" x14ac:dyDescent="0.3">
      <c r="A13" t="s">
        <v>43</v>
      </c>
      <c r="B13" t="str">
        <f>IFERROR(INDEX(Data!$G:$G,MATCH(ABI!A13,Data!$I:$I,0),1),"")</f>
        <v>240115-1195-env-f</v>
      </c>
      <c r="C13" t="str">
        <f t="shared" si="1"/>
        <v>Std_Seq_Assay-POP7</v>
      </c>
      <c r="D13" t="str">
        <f t="shared" si="0"/>
        <v>HIV</v>
      </c>
      <c r="E13" t="str">
        <f t="shared" si="0"/>
        <v>HIV</v>
      </c>
      <c r="F13" t="str">
        <f t="shared" si="0"/>
        <v>Sample</v>
      </c>
    </row>
    <row r="14" spans="1:14" ht="14.45" x14ac:dyDescent="0.3">
      <c r="A14" t="s">
        <v>44</v>
      </c>
      <c r="B14" t="str">
        <f>IFERROR(INDEX(Data!$G:$G,MATCH(ABI!A14,Data!$I:$I,0),1),"")</f>
        <v>240115-1195-env-r</v>
      </c>
      <c r="C14" t="str">
        <f t="shared" si="1"/>
        <v>Std_Seq_Assay-POP7</v>
      </c>
      <c r="D14" t="str">
        <f t="shared" si="0"/>
        <v>HIV</v>
      </c>
      <c r="E14" t="str">
        <f t="shared" si="0"/>
        <v>HIV</v>
      </c>
      <c r="F14" t="str">
        <f t="shared" si="0"/>
        <v>Sample</v>
      </c>
    </row>
    <row r="15" spans="1:14" ht="14.45" x14ac:dyDescent="0.3">
      <c r="A15" t="s">
        <v>45</v>
      </c>
      <c r="B15" t="str">
        <f>IFERROR(INDEX(Data!$G:$G,MATCH(ABI!A15,Data!$I:$I,0),1),"")</f>
        <v>240115-1198-p1</v>
      </c>
      <c r="C15" t="str">
        <f t="shared" si="1"/>
        <v>Std_Seq_Assay-POP7</v>
      </c>
      <c r="D15" t="str">
        <f t="shared" si="0"/>
        <v>HIV</v>
      </c>
      <c r="E15" t="str">
        <f t="shared" si="0"/>
        <v>HIV</v>
      </c>
      <c r="F15" t="str">
        <f t="shared" si="0"/>
        <v>Sample</v>
      </c>
    </row>
    <row r="16" spans="1:14" ht="14.45" x14ac:dyDescent="0.3">
      <c r="A16" t="s">
        <v>46</v>
      </c>
      <c r="B16" t="str">
        <f>IFERROR(INDEX(Data!$G:$G,MATCH(ABI!A16,Data!$I:$I,0),1),"")</f>
        <v>240115-1198-p2</v>
      </c>
      <c r="C16" t="str">
        <f t="shared" si="1"/>
        <v>Std_Seq_Assay-POP7</v>
      </c>
      <c r="D16" t="str">
        <f t="shared" si="0"/>
        <v>HIV</v>
      </c>
      <c r="E16" t="str">
        <f t="shared" si="0"/>
        <v>HIV</v>
      </c>
      <c r="F16" t="str">
        <f t="shared" si="0"/>
        <v>Sample</v>
      </c>
    </row>
    <row r="17" spans="1:6" ht="14.45" x14ac:dyDescent="0.3">
      <c r="A17" t="s">
        <v>47</v>
      </c>
      <c r="B17" t="str">
        <f>IFERROR(INDEX(Data!$G:$G,MATCH(ABI!A17,Data!$I:$I,0),1),"")</f>
        <v>240115-1198-r1</v>
      </c>
      <c r="C17" t="str">
        <f t="shared" si="1"/>
        <v>Std_Seq_Assay-POP7</v>
      </c>
      <c r="D17" t="str">
        <f t="shared" si="0"/>
        <v>HIV</v>
      </c>
      <c r="E17" t="str">
        <f t="shared" si="0"/>
        <v>HIV</v>
      </c>
      <c r="F17" t="str">
        <f t="shared" si="0"/>
        <v>Sample</v>
      </c>
    </row>
    <row r="18" spans="1:6" ht="14.45" x14ac:dyDescent="0.3">
      <c r="A18" t="s">
        <v>48</v>
      </c>
      <c r="B18" t="str">
        <f>IFERROR(INDEX(Data!$G:$G,MATCH(ABI!A18,Data!$I:$I,0),1),"")</f>
        <v>240115-1198-r2</v>
      </c>
      <c r="C18" t="str">
        <f t="shared" si="1"/>
        <v>Std_Seq_Assay-POP7</v>
      </c>
      <c r="D18" t="str">
        <f t="shared" si="0"/>
        <v>HIV</v>
      </c>
      <c r="E18" t="str">
        <f t="shared" si="0"/>
        <v>HIV</v>
      </c>
      <c r="F18" t="str">
        <f t="shared" si="0"/>
        <v>Sample</v>
      </c>
    </row>
    <row r="19" spans="1:6" ht="14.45" x14ac:dyDescent="0.3">
      <c r="A19" t="s">
        <v>49</v>
      </c>
      <c r="B19" t="str">
        <f>IFERROR(INDEX(Data!$G:$G,MATCH(ABI!A19,Data!$I:$I,0),1),"")</f>
        <v>240115-1198-r3</v>
      </c>
      <c r="C19" t="str">
        <f t="shared" si="1"/>
        <v>Std_Seq_Assay-POP7</v>
      </c>
      <c r="D19" t="str">
        <f t="shared" si="0"/>
        <v>HIV</v>
      </c>
      <c r="E19" t="str">
        <f t="shared" si="0"/>
        <v>HIV</v>
      </c>
      <c r="F19" t="str">
        <f t="shared" si="0"/>
        <v>Sample</v>
      </c>
    </row>
    <row r="20" spans="1:6" ht="14.45" x14ac:dyDescent="0.3">
      <c r="A20" t="s">
        <v>50</v>
      </c>
      <c r="B20" t="str">
        <f>IFERROR(INDEX(Data!$G:$G,MATCH(ABI!A20,Data!$I:$I,0),1),"")</f>
        <v>240115-1198-r4</v>
      </c>
      <c r="C20" t="str">
        <f t="shared" si="1"/>
        <v>Std_Seq_Assay-POP7</v>
      </c>
      <c r="D20" t="str">
        <f t="shared" si="0"/>
        <v>HIV</v>
      </c>
      <c r="E20" t="str">
        <f t="shared" si="0"/>
        <v>HIV</v>
      </c>
      <c r="F20" t="str">
        <f t="shared" si="0"/>
        <v>Sample</v>
      </c>
    </row>
    <row r="21" spans="1:6" ht="14.45" x14ac:dyDescent="0.3">
      <c r="A21" t="s">
        <v>51</v>
      </c>
      <c r="B21" t="str">
        <f>IFERROR(INDEX(Data!$G:$G,MATCH(ABI!A21,Data!$I:$I,0),1),"")</f>
        <v>240115-1198-env-f</v>
      </c>
      <c r="C21" t="str">
        <f t="shared" si="1"/>
        <v>Std_Seq_Assay-POP7</v>
      </c>
      <c r="D21" t="str">
        <f t="shared" si="0"/>
        <v>HIV</v>
      </c>
      <c r="E21" t="str">
        <f t="shared" si="0"/>
        <v>HIV</v>
      </c>
      <c r="F21" t="str">
        <f t="shared" si="0"/>
        <v>Sample</v>
      </c>
    </row>
    <row r="22" spans="1:6" ht="14.45" x14ac:dyDescent="0.3">
      <c r="A22" t="s">
        <v>52</v>
      </c>
      <c r="B22" t="str">
        <f>IFERROR(INDEX(Data!$G:$G,MATCH(ABI!A22,Data!$I:$I,0),1),"")</f>
        <v>240115-1198-env-r</v>
      </c>
      <c r="C22" t="str">
        <f t="shared" si="1"/>
        <v>Std_Seq_Assay-POP7</v>
      </c>
      <c r="D22" t="str">
        <f t="shared" si="0"/>
        <v>HIV</v>
      </c>
      <c r="E22" t="str">
        <f t="shared" si="0"/>
        <v>HIV</v>
      </c>
      <c r="F22" t="str">
        <f t="shared" si="0"/>
        <v>Sample</v>
      </c>
    </row>
    <row r="23" spans="1:6" ht="14.45" x14ac:dyDescent="0.3">
      <c r="A23" t="s">
        <v>53</v>
      </c>
      <c r="B23" t="str">
        <f>IFERROR(INDEX(Data!$G:$G,MATCH(ABI!A23,Data!$I:$I,0),1),"")</f>
        <v>240115-1199-p1</v>
      </c>
      <c r="C23" t="str">
        <f t="shared" si="1"/>
        <v>Std_Seq_Assay-POP7</v>
      </c>
      <c r="D23" t="str">
        <f t="shared" si="0"/>
        <v>HIV</v>
      </c>
      <c r="E23" t="str">
        <f t="shared" si="0"/>
        <v>HIV</v>
      </c>
      <c r="F23" t="str">
        <f t="shared" si="0"/>
        <v>Sample</v>
      </c>
    </row>
    <row r="24" spans="1:6" ht="14.45" x14ac:dyDescent="0.3">
      <c r="A24" t="s">
        <v>54</v>
      </c>
      <c r="B24" t="str">
        <f>IFERROR(INDEX(Data!$G:$G,MATCH(ABI!A24,Data!$I:$I,0),1),"")</f>
        <v>240115-1199-p2</v>
      </c>
      <c r="C24" t="str">
        <f t="shared" si="1"/>
        <v>Std_Seq_Assay-POP7</v>
      </c>
      <c r="D24" t="str">
        <f t="shared" si="1"/>
        <v>HIV</v>
      </c>
      <c r="E24" t="str">
        <f t="shared" si="1"/>
        <v>HIV</v>
      </c>
      <c r="F24" t="str">
        <f t="shared" si="1"/>
        <v>Sample</v>
      </c>
    </row>
    <row r="25" spans="1:6" ht="14.45" x14ac:dyDescent="0.3">
      <c r="A25" t="s">
        <v>55</v>
      </c>
      <c r="B25" t="str">
        <f>IFERROR(INDEX(Data!$G:$G,MATCH(ABI!A25,Data!$I:$I,0),1),"")</f>
        <v>240115-1199-r1</v>
      </c>
      <c r="C25" t="str">
        <f t="shared" si="1"/>
        <v>Std_Seq_Assay-POP7</v>
      </c>
      <c r="D25" t="str">
        <f t="shared" si="1"/>
        <v>HIV</v>
      </c>
      <c r="E25" t="str">
        <f t="shared" si="1"/>
        <v>HIV</v>
      </c>
      <c r="F25" t="str">
        <f t="shared" si="1"/>
        <v>Sample</v>
      </c>
    </row>
    <row r="26" spans="1:6" ht="14.45" x14ac:dyDescent="0.3">
      <c r="A26" t="s">
        <v>56</v>
      </c>
      <c r="B26" t="str">
        <f>IFERROR(INDEX(Data!$G:$G,MATCH(ABI!A26,Data!$I:$I,0),1),"")</f>
        <v>240115-1199-r2</v>
      </c>
      <c r="C26" t="str">
        <f t="shared" si="1"/>
        <v>Std_Seq_Assay-POP7</v>
      </c>
      <c r="D26" t="str">
        <f t="shared" si="1"/>
        <v>HIV</v>
      </c>
      <c r="E26" t="str">
        <f t="shared" si="1"/>
        <v>HIV</v>
      </c>
      <c r="F26" t="str">
        <f t="shared" si="1"/>
        <v>Sample</v>
      </c>
    </row>
    <row r="27" spans="1:6" ht="14.45" x14ac:dyDescent="0.3">
      <c r="A27" t="s">
        <v>57</v>
      </c>
      <c r="B27" t="str">
        <f>IFERROR(INDEX(Data!$G:$G,MATCH(ABI!A27,Data!$I:$I,0),1),"")</f>
        <v>240115-1199-r3</v>
      </c>
      <c r="C27" t="str">
        <f t="shared" si="1"/>
        <v>Std_Seq_Assay-POP7</v>
      </c>
      <c r="D27" t="str">
        <f t="shared" si="1"/>
        <v>HIV</v>
      </c>
      <c r="E27" t="str">
        <f t="shared" si="1"/>
        <v>HIV</v>
      </c>
      <c r="F27" t="str">
        <f t="shared" si="1"/>
        <v>Sample</v>
      </c>
    </row>
    <row r="28" spans="1:6" ht="14.45" x14ac:dyDescent="0.3">
      <c r="A28" t="s">
        <v>58</v>
      </c>
      <c r="B28" t="str">
        <f>IFERROR(INDEX(Data!$G:$G,MATCH(ABI!A28,Data!$I:$I,0),1),"")</f>
        <v>240115-1199-r4</v>
      </c>
      <c r="C28" t="str">
        <f t="shared" si="1"/>
        <v>Std_Seq_Assay-POP7</v>
      </c>
      <c r="D28" t="str">
        <f t="shared" si="1"/>
        <v>HIV</v>
      </c>
      <c r="E28" t="str">
        <f t="shared" si="1"/>
        <v>HIV</v>
      </c>
      <c r="F28" t="str">
        <f t="shared" si="1"/>
        <v>Sample</v>
      </c>
    </row>
    <row r="29" spans="1:6" ht="14.45" x14ac:dyDescent="0.3">
      <c r="A29" t="s">
        <v>59</v>
      </c>
      <c r="B29" t="str">
        <f>IFERROR(INDEX(Data!$G:$G,MATCH(ABI!A29,Data!$I:$I,0),1),"")</f>
        <v>240115-1199-env-f</v>
      </c>
      <c r="C29" t="str">
        <f t="shared" si="1"/>
        <v>Std_Seq_Assay-POP7</v>
      </c>
      <c r="D29" t="str">
        <f t="shared" si="1"/>
        <v>HIV</v>
      </c>
      <c r="E29" t="str">
        <f t="shared" si="1"/>
        <v>HIV</v>
      </c>
      <c r="F29" t="str">
        <f t="shared" si="1"/>
        <v>Sample</v>
      </c>
    </row>
    <row r="30" spans="1:6" ht="14.45" x14ac:dyDescent="0.3">
      <c r="A30" t="s">
        <v>60</v>
      </c>
      <c r="B30" t="str">
        <f>IFERROR(INDEX(Data!$G:$G,MATCH(ABI!A30,Data!$I:$I,0),1),"")</f>
        <v>240115-1199-env-r</v>
      </c>
      <c r="C30" t="str">
        <f t="shared" si="1"/>
        <v>Std_Seq_Assay-POP7</v>
      </c>
      <c r="D30" t="str">
        <f t="shared" si="1"/>
        <v>HIV</v>
      </c>
      <c r="E30" t="str">
        <f t="shared" si="1"/>
        <v>HIV</v>
      </c>
      <c r="F30" t="str">
        <f t="shared" si="1"/>
        <v>Sample</v>
      </c>
    </row>
    <row r="31" spans="1:6" ht="14.45" x14ac:dyDescent="0.3">
      <c r="A31" t="s">
        <v>61</v>
      </c>
      <c r="B31" t="str">
        <f>IFERROR(INDEX(Data!$G:$G,MATCH(ABI!A31,Data!$I:$I,0),1),"")</f>
        <v>240115-1196-env-f</v>
      </c>
      <c r="C31" t="str">
        <f t="shared" si="1"/>
        <v>Std_Seq_Assay-POP7</v>
      </c>
      <c r="D31" t="str">
        <f t="shared" si="1"/>
        <v>HIV</v>
      </c>
      <c r="E31" t="str">
        <f t="shared" si="1"/>
        <v>HIV</v>
      </c>
      <c r="F31" t="str">
        <f t="shared" si="1"/>
        <v>Sample</v>
      </c>
    </row>
    <row r="32" spans="1:6" x14ac:dyDescent="0.25">
      <c r="A32" t="s">
        <v>62</v>
      </c>
      <c r="B32" t="str">
        <f>IFERROR(INDEX(Data!$G:$G,MATCH(ABI!A32,Data!$I:$I,0),1),"")</f>
        <v>240115-1196-env-r</v>
      </c>
      <c r="C32" t="str">
        <f t="shared" si="1"/>
        <v>Std_Seq_Assay-POP7</v>
      </c>
      <c r="D32" t="str">
        <f t="shared" si="1"/>
        <v>HIV</v>
      </c>
      <c r="E32" t="str">
        <f t="shared" si="1"/>
        <v>HIV</v>
      </c>
      <c r="F32" t="str">
        <f t="shared" si="1"/>
        <v>Sample</v>
      </c>
    </row>
    <row r="33" spans="1:6" x14ac:dyDescent="0.25">
      <c r="A33" t="s">
        <v>63</v>
      </c>
      <c r="B33" t="str">
        <f>IFERROR(INDEX(Data!$G:$G,MATCH(ABI!A33,Data!$I:$I,0),1),"")</f>
        <v>240115-1197-env-f</v>
      </c>
      <c r="C33" t="str">
        <f t="shared" si="1"/>
        <v>Std_Seq_Assay-POP7</v>
      </c>
      <c r="D33" t="str">
        <f t="shared" si="1"/>
        <v>HIV</v>
      </c>
      <c r="E33" t="str">
        <f t="shared" si="1"/>
        <v>HIV</v>
      </c>
      <c r="F33" t="str">
        <f t="shared" si="1"/>
        <v>Sample</v>
      </c>
    </row>
    <row r="34" spans="1:6" x14ac:dyDescent="0.25">
      <c r="A34" t="s">
        <v>64</v>
      </c>
      <c r="B34" t="str">
        <f>IFERROR(INDEX(Data!$G:$G,MATCH(ABI!A34,Data!$I:$I,0),1),"")</f>
        <v>240115-1197-env-r</v>
      </c>
      <c r="C34" t="str">
        <f t="shared" si="1"/>
        <v>Std_Seq_Assay-POP7</v>
      </c>
      <c r="D34" t="str">
        <f t="shared" si="1"/>
        <v>HIV</v>
      </c>
      <c r="E34" t="str">
        <f t="shared" si="1"/>
        <v>HIV</v>
      </c>
      <c r="F34" t="str">
        <f t="shared" si="1"/>
        <v>Sample</v>
      </c>
    </row>
    <row r="35" spans="1:6" x14ac:dyDescent="0.25">
      <c r="A35" t="s">
        <v>65</v>
      </c>
      <c r="B35" t="str">
        <f>IFERROR(INDEX(Data!$G:$G,MATCH(ABI!A35,Data!$I:$I,0),1),"")</f>
        <v>240115-1200-env-f</v>
      </c>
      <c r="C35" t="str">
        <f t="shared" si="1"/>
        <v>Std_Seq_Assay-POP7</v>
      </c>
      <c r="D35" t="str">
        <f t="shared" si="1"/>
        <v>HIV</v>
      </c>
      <c r="E35" t="str">
        <f t="shared" si="1"/>
        <v>HIV</v>
      </c>
      <c r="F35" t="str">
        <f t="shared" si="1"/>
        <v>Sample</v>
      </c>
    </row>
    <row r="36" spans="1:6" x14ac:dyDescent="0.25">
      <c r="A36" t="s">
        <v>66</v>
      </c>
      <c r="B36" t="str">
        <f>IFERROR(INDEX(Data!$G:$G,MATCH(ABI!A36,Data!$I:$I,0),1),"")</f>
        <v>240115-1200-env-r</v>
      </c>
      <c r="C36" t="str">
        <f t="shared" si="1"/>
        <v>Std_Seq_Assay-POP7</v>
      </c>
      <c r="D36" t="str">
        <f t="shared" si="1"/>
        <v>HIV</v>
      </c>
      <c r="E36" t="str">
        <f t="shared" si="1"/>
        <v>HIV</v>
      </c>
      <c r="F36" t="str">
        <f t="shared" si="1"/>
        <v>Sample</v>
      </c>
    </row>
    <row r="37" spans="1:6" x14ac:dyDescent="0.25">
      <c r="A37" t="s">
        <v>67</v>
      </c>
      <c r="B37" t="str">
        <f>IFERROR(INDEX(Data!$G:$G,MATCH(ABI!A37,Data!$I:$I,0),1),"")</f>
        <v>240115-1201-env-f</v>
      </c>
      <c r="C37" t="str">
        <f t="shared" si="1"/>
        <v>Std_Seq_Assay-POP7</v>
      </c>
      <c r="D37" t="str">
        <f t="shared" si="1"/>
        <v>HIV</v>
      </c>
      <c r="E37" t="str">
        <f t="shared" si="1"/>
        <v>HIV</v>
      </c>
      <c r="F37" t="str">
        <f t="shared" si="1"/>
        <v>Sample</v>
      </c>
    </row>
    <row r="38" spans="1:6" x14ac:dyDescent="0.25">
      <c r="A38" t="s">
        <v>68</v>
      </c>
      <c r="B38" t="str">
        <f>IFERROR(INDEX(Data!$G:$G,MATCH(ABI!A38,Data!$I:$I,0),1),"")</f>
        <v>240115-1201-env-r</v>
      </c>
      <c r="C38" t="str">
        <f t="shared" si="1"/>
        <v>Std_Seq_Assay-POP7</v>
      </c>
      <c r="D38" t="str">
        <f t="shared" si="1"/>
        <v>HIV</v>
      </c>
      <c r="E38" t="str">
        <f t="shared" si="1"/>
        <v>HIV</v>
      </c>
      <c r="F38" t="str">
        <f t="shared" si="1"/>
        <v>Sample</v>
      </c>
    </row>
    <row r="39" spans="1:6" x14ac:dyDescent="0.25">
      <c r="A39" t="s">
        <v>69</v>
      </c>
      <c r="B39" t="str">
        <f>IFERROR(INDEX(Data!$G:$G,MATCH(ABI!A39,Data!$I:$I,0),1),"")</f>
        <v>240115-1202-env-f</v>
      </c>
      <c r="C39" t="str">
        <f t="shared" si="1"/>
        <v>Std_Seq_Assay-POP7</v>
      </c>
      <c r="D39" t="str">
        <f t="shared" si="1"/>
        <v>HIV</v>
      </c>
      <c r="E39" t="str">
        <f t="shared" si="1"/>
        <v>HIV</v>
      </c>
      <c r="F39" t="str">
        <f t="shared" si="1"/>
        <v>Sample</v>
      </c>
    </row>
    <row r="40" spans="1:6" x14ac:dyDescent="0.25">
      <c r="A40" t="s">
        <v>70</v>
      </c>
      <c r="B40" t="str">
        <f>IFERROR(INDEX(Data!$G:$G,MATCH(ABI!A40,Data!$I:$I,0),1),"")</f>
        <v>240115-1202-env-r</v>
      </c>
      <c r="C40" t="str">
        <f t="shared" si="1"/>
        <v>Std_Seq_Assay-POP7</v>
      </c>
      <c r="D40" t="str">
        <f t="shared" si="1"/>
        <v>HIV</v>
      </c>
      <c r="E40" t="str">
        <f t="shared" si="1"/>
        <v>HIV</v>
      </c>
      <c r="F40" t="str">
        <f t="shared" si="1"/>
        <v>Sample</v>
      </c>
    </row>
    <row r="41" spans="1:6" x14ac:dyDescent="0.25">
      <c r="A41" t="s">
        <v>71</v>
      </c>
      <c r="B41" t="str">
        <f>IFERROR(INDEX(Data!$G:$G,MATCH(ABI!A41,Data!$I:$I,0),1),"")</f>
        <v>240115-1203-env-f</v>
      </c>
      <c r="C41" t="str">
        <f t="shared" ref="C41:F72" si="2">IF($B41&lt;&gt;"",C$7,"")</f>
        <v>Std_Seq_Assay-POP7</v>
      </c>
      <c r="D41" t="str">
        <f t="shared" si="2"/>
        <v>HIV</v>
      </c>
      <c r="E41" t="str">
        <f t="shared" si="2"/>
        <v>HIV</v>
      </c>
      <c r="F41" t="str">
        <f t="shared" si="2"/>
        <v>Sample</v>
      </c>
    </row>
    <row r="42" spans="1:6" x14ac:dyDescent="0.25">
      <c r="A42" t="s">
        <v>72</v>
      </c>
      <c r="B42" t="str">
        <f>IFERROR(INDEX(Data!$G:$G,MATCH(ABI!A42,Data!$I:$I,0),1),"")</f>
        <v>240115-1203-env-r</v>
      </c>
      <c r="C42" t="str">
        <f t="shared" si="2"/>
        <v>Std_Seq_Assay-POP7</v>
      </c>
      <c r="D42" t="str">
        <f t="shared" si="2"/>
        <v>HIV</v>
      </c>
      <c r="E42" t="str">
        <f t="shared" si="2"/>
        <v>HIV</v>
      </c>
      <c r="F42" t="str">
        <f t="shared" si="2"/>
        <v>Sample</v>
      </c>
    </row>
    <row r="43" spans="1:6" x14ac:dyDescent="0.25">
      <c r="A43" t="s">
        <v>73</v>
      </c>
      <c r="B43" t="str">
        <f>IFERROR(INDEX(Data!$G:$G,MATCH(ABI!A43,Data!$I:$I,0),1),"")</f>
        <v>240115-1204-env-f</v>
      </c>
      <c r="C43" t="str">
        <f t="shared" si="2"/>
        <v>Std_Seq_Assay-POP7</v>
      </c>
      <c r="D43" t="str">
        <f t="shared" si="2"/>
        <v>HIV</v>
      </c>
      <c r="E43" t="str">
        <f t="shared" si="2"/>
        <v>HIV</v>
      </c>
      <c r="F43" t="str">
        <f t="shared" si="2"/>
        <v>Sample</v>
      </c>
    </row>
    <row r="44" spans="1:6" x14ac:dyDescent="0.25">
      <c r="A44" t="s">
        <v>74</v>
      </c>
      <c r="B44" t="str">
        <f>IFERROR(INDEX(Data!$G:$G,MATCH(ABI!A44,Data!$I:$I,0),1),"")</f>
        <v>240115-1204-env-r</v>
      </c>
      <c r="C44" t="str">
        <f t="shared" si="2"/>
        <v>Std_Seq_Assay-POP7</v>
      </c>
      <c r="D44" t="str">
        <f t="shared" si="2"/>
        <v>HIV</v>
      </c>
      <c r="E44" t="str">
        <f t="shared" si="2"/>
        <v>HIV</v>
      </c>
      <c r="F44" t="str">
        <f t="shared" si="2"/>
        <v>Sample</v>
      </c>
    </row>
    <row r="45" spans="1:6" x14ac:dyDescent="0.25">
      <c r="A45" t="s">
        <v>75</v>
      </c>
      <c r="B45" t="str">
        <f>IFERROR(INDEX(Data!$G:$G,MATCH(ABI!A45,Data!$I:$I,0),1),"")</f>
        <v>240115-1205-env-f</v>
      </c>
      <c r="C45" t="str">
        <f t="shared" si="2"/>
        <v>Std_Seq_Assay-POP7</v>
      </c>
      <c r="D45" t="str">
        <f t="shared" si="2"/>
        <v>HIV</v>
      </c>
      <c r="E45" t="str">
        <f t="shared" si="2"/>
        <v>HIV</v>
      </c>
      <c r="F45" t="str">
        <f t="shared" si="2"/>
        <v>Sample</v>
      </c>
    </row>
    <row r="46" spans="1:6" x14ac:dyDescent="0.25">
      <c r="A46" t="s">
        <v>76</v>
      </c>
      <c r="B46" t="str">
        <f>IFERROR(INDEX(Data!$G:$G,MATCH(ABI!A46,Data!$I:$I,0),1),"")</f>
        <v>240115-1205-env-r</v>
      </c>
      <c r="C46" t="str">
        <f t="shared" si="2"/>
        <v>Std_Seq_Assay-POP7</v>
      </c>
      <c r="D46" t="str">
        <f t="shared" si="2"/>
        <v>HIV</v>
      </c>
      <c r="E46" t="str">
        <f t="shared" si="2"/>
        <v>HIV</v>
      </c>
      <c r="F46" t="str">
        <f t="shared" si="2"/>
        <v>Sample</v>
      </c>
    </row>
    <row r="47" spans="1:6" x14ac:dyDescent="0.25">
      <c r="A47" t="s">
        <v>77</v>
      </c>
      <c r="B47" t="str">
        <f>IFERROR(INDEX(Data!$G:$G,MATCH(ABI!A47,Data!$I:$I,0),1),"")</f>
        <v>240115-1206-env-f</v>
      </c>
      <c r="C47" t="str">
        <f t="shared" si="2"/>
        <v>Std_Seq_Assay-POP7</v>
      </c>
      <c r="D47" t="str">
        <f t="shared" si="2"/>
        <v>HIV</v>
      </c>
      <c r="E47" t="str">
        <f t="shared" si="2"/>
        <v>HIV</v>
      </c>
      <c r="F47" t="str">
        <f t="shared" si="2"/>
        <v>Sample</v>
      </c>
    </row>
    <row r="48" spans="1:6" x14ac:dyDescent="0.25">
      <c r="A48" t="s">
        <v>78</v>
      </c>
      <c r="B48" t="str">
        <f>IFERROR(INDEX(Data!$G:$G,MATCH(ABI!A48,Data!$I:$I,0),1),"")</f>
        <v>240115-1206-env-r</v>
      </c>
      <c r="C48" t="str">
        <f t="shared" si="2"/>
        <v>Std_Seq_Assay-POP7</v>
      </c>
      <c r="D48" t="str">
        <f t="shared" si="2"/>
        <v>HIV</v>
      </c>
      <c r="E48" t="str">
        <f t="shared" si="2"/>
        <v>HIV</v>
      </c>
      <c r="F48" t="str">
        <f t="shared" si="2"/>
        <v>Sample</v>
      </c>
    </row>
    <row r="49" spans="1:6" x14ac:dyDescent="0.25">
      <c r="A49" t="s">
        <v>79</v>
      </c>
      <c r="B49" t="str">
        <f>IFERROR(INDEX(Data!$G:$G,MATCH(ABI!A49,Data!$I:$I,0),1),"")</f>
        <v>240115-1207-env-f</v>
      </c>
      <c r="C49" t="str">
        <f t="shared" si="2"/>
        <v>Std_Seq_Assay-POP7</v>
      </c>
      <c r="D49" t="str">
        <f t="shared" si="2"/>
        <v>HIV</v>
      </c>
      <c r="E49" t="str">
        <f t="shared" si="2"/>
        <v>HIV</v>
      </c>
      <c r="F49" t="str">
        <f t="shared" si="2"/>
        <v>Sample</v>
      </c>
    </row>
    <row r="50" spans="1:6" x14ac:dyDescent="0.25">
      <c r="A50" t="s">
        <v>80</v>
      </c>
      <c r="B50" t="str">
        <f>IFERROR(INDEX(Data!$G:$G,MATCH(ABI!A50,Data!$I:$I,0),1),"")</f>
        <v>240115-1207-env-r</v>
      </c>
      <c r="C50" t="str">
        <f t="shared" si="2"/>
        <v>Std_Seq_Assay-POP7</v>
      </c>
      <c r="D50" t="str">
        <f t="shared" si="2"/>
        <v>HIV</v>
      </c>
      <c r="E50" t="str">
        <f t="shared" si="2"/>
        <v>HIV</v>
      </c>
      <c r="F50" t="str">
        <f t="shared" si="2"/>
        <v>Sample</v>
      </c>
    </row>
    <row r="51" spans="1:6" x14ac:dyDescent="0.25">
      <c r="A51" t="s">
        <v>81</v>
      </c>
      <c r="B51" t="str">
        <f>IFERROR(INDEX(Data!$G:$G,MATCH(ABI!A51,Data!$I:$I,0),1),"")</f>
        <v>240115-1208-env-f</v>
      </c>
      <c r="C51" t="str">
        <f t="shared" si="2"/>
        <v>Std_Seq_Assay-POP7</v>
      </c>
      <c r="D51" t="str">
        <f t="shared" si="2"/>
        <v>HIV</v>
      </c>
      <c r="E51" t="str">
        <f t="shared" si="2"/>
        <v>HIV</v>
      </c>
      <c r="F51" t="str">
        <f t="shared" si="2"/>
        <v>Sample</v>
      </c>
    </row>
    <row r="52" spans="1:6" x14ac:dyDescent="0.25">
      <c r="A52" t="s">
        <v>82</v>
      </c>
      <c r="B52" t="str">
        <f>IFERROR(INDEX(Data!$G:$G,MATCH(ABI!A52,Data!$I:$I,0),1),"")</f>
        <v>240115-1208-env-r</v>
      </c>
      <c r="C52" t="str">
        <f t="shared" si="2"/>
        <v>Std_Seq_Assay-POP7</v>
      </c>
      <c r="D52" t="str">
        <f t="shared" si="2"/>
        <v>HIV</v>
      </c>
      <c r="E52" t="str">
        <f t="shared" si="2"/>
        <v>HIV</v>
      </c>
      <c r="F52" t="str">
        <f t="shared" si="2"/>
        <v>Sample</v>
      </c>
    </row>
    <row r="53" spans="1:6" x14ac:dyDescent="0.25">
      <c r="A53" t="s">
        <v>83</v>
      </c>
      <c r="B53" t="str">
        <f>IFERROR(INDEX(Data!$G:$G,MATCH(ABI!A53,Data!$I:$I,0),1),"")</f>
        <v>240115-1209-env-f</v>
      </c>
      <c r="C53" t="str">
        <f t="shared" si="2"/>
        <v>Std_Seq_Assay-POP7</v>
      </c>
      <c r="D53" t="str">
        <f t="shared" si="2"/>
        <v>HIV</v>
      </c>
      <c r="E53" t="str">
        <f t="shared" si="2"/>
        <v>HIV</v>
      </c>
      <c r="F53" t="str">
        <f t="shared" si="2"/>
        <v>Sample</v>
      </c>
    </row>
    <row r="54" spans="1:6" x14ac:dyDescent="0.25">
      <c r="A54" t="s">
        <v>84</v>
      </c>
      <c r="B54" t="str">
        <f>IFERROR(INDEX(Data!$G:$G,MATCH(ABI!A54,Data!$I:$I,0),1),"")</f>
        <v>240115-1209-env-r</v>
      </c>
      <c r="C54" t="str">
        <f t="shared" si="2"/>
        <v>Std_Seq_Assay-POP7</v>
      </c>
      <c r="D54" t="str">
        <f t="shared" si="2"/>
        <v>HIV</v>
      </c>
      <c r="E54" t="str">
        <f t="shared" si="2"/>
        <v>HIV</v>
      </c>
      <c r="F54" t="str">
        <f t="shared" si="2"/>
        <v>Sample</v>
      </c>
    </row>
    <row r="55" spans="1:6" x14ac:dyDescent="0.25">
      <c r="A55" t="s">
        <v>85</v>
      </c>
      <c r="B55" t="str">
        <f>IFERROR(INDEX(Data!$G:$G,MATCH(ABI!A55,Data!$I:$I,0),1),"")</f>
        <v>240115-1210-env-f</v>
      </c>
      <c r="C55" t="str">
        <f t="shared" si="2"/>
        <v>Std_Seq_Assay-POP7</v>
      </c>
      <c r="D55" t="str">
        <f t="shared" si="2"/>
        <v>HIV</v>
      </c>
      <c r="E55" t="str">
        <f t="shared" si="2"/>
        <v>HIV</v>
      </c>
      <c r="F55" t="str">
        <f t="shared" si="2"/>
        <v>Sample</v>
      </c>
    </row>
    <row r="56" spans="1:6" x14ac:dyDescent="0.25">
      <c r="A56" t="s">
        <v>86</v>
      </c>
      <c r="B56" t="str">
        <f>IFERROR(INDEX(Data!$G:$G,MATCH(ABI!A56,Data!$I:$I,0),1),"")</f>
        <v>240115-1210-env-r</v>
      </c>
      <c r="C56" t="str">
        <f t="shared" si="2"/>
        <v>Std_Seq_Assay-POP7</v>
      </c>
      <c r="D56" t="str">
        <f t="shared" si="2"/>
        <v>HIV</v>
      </c>
      <c r="E56" t="str">
        <f t="shared" si="2"/>
        <v>HIV</v>
      </c>
      <c r="F56" t="str">
        <f t="shared" si="2"/>
        <v>Sample</v>
      </c>
    </row>
    <row r="57" spans="1:6" x14ac:dyDescent="0.25">
      <c r="A57" t="s">
        <v>87</v>
      </c>
      <c r="B57" t="str">
        <f>IFERROR(INDEX(Data!$G:$G,MATCH(ABI!A57,Data!$I:$I,0),1),"")</f>
        <v>240115-1211-env-f</v>
      </c>
      <c r="C57" t="str">
        <f t="shared" si="2"/>
        <v>Std_Seq_Assay-POP7</v>
      </c>
      <c r="D57" t="str">
        <f t="shared" si="2"/>
        <v>HIV</v>
      </c>
      <c r="E57" t="str">
        <f t="shared" si="2"/>
        <v>HIV</v>
      </c>
      <c r="F57" t="str">
        <f t="shared" si="2"/>
        <v>Sample</v>
      </c>
    </row>
    <row r="58" spans="1:6" x14ac:dyDescent="0.25">
      <c r="A58" t="s">
        <v>88</v>
      </c>
      <c r="B58" t="str">
        <f>IFERROR(INDEX(Data!$G:$G,MATCH(ABI!A58,Data!$I:$I,0),1),"")</f>
        <v>240115-1211-env-r</v>
      </c>
      <c r="C58" t="str">
        <f t="shared" si="2"/>
        <v>Std_Seq_Assay-POP7</v>
      </c>
      <c r="D58" t="str">
        <f t="shared" si="2"/>
        <v>HIV</v>
      </c>
      <c r="E58" t="str">
        <f t="shared" si="2"/>
        <v>HIV</v>
      </c>
      <c r="F58" t="str">
        <f t="shared" si="2"/>
        <v>Sample</v>
      </c>
    </row>
    <row r="59" spans="1:6" x14ac:dyDescent="0.25">
      <c r="A59" t="s">
        <v>89</v>
      </c>
      <c r="B59" t="str">
        <f>IFERROR(INDEX(Data!$G:$G,MATCH(ABI!A59,Data!$I:$I,0),1),"")</f>
        <v>240115-1212-env-f</v>
      </c>
      <c r="C59" t="str">
        <f t="shared" si="2"/>
        <v>Std_Seq_Assay-POP7</v>
      </c>
      <c r="D59" t="str">
        <f t="shared" si="2"/>
        <v>HIV</v>
      </c>
      <c r="E59" t="str">
        <f t="shared" si="2"/>
        <v>HIV</v>
      </c>
      <c r="F59" t="str">
        <f t="shared" si="2"/>
        <v>Sample</v>
      </c>
    </row>
    <row r="60" spans="1:6" x14ac:dyDescent="0.25">
      <c r="A60" t="s">
        <v>90</v>
      </c>
      <c r="B60" t="str">
        <f>IFERROR(INDEX(Data!$G:$G,MATCH(ABI!A60,Data!$I:$I,0),1),"")</f>
        <v>240115-1212-env-r</v>
      </c>
      <c r="C60" t="str">
        <f t="shared" si="2"/>
        <v>Std_Seq_Assay-POP7</v>
      </c>
      <c r="D60" t="str">
        <f t="shared" si="2"/>
        <v>HIV</v>
      </c>
      <c r="E60" t="str">
        <f t="shared" si="2"/>
        <v>HIV</v>
      </c>
      <c r="F60" t="str">
        <f t="shared" si="2"/>
        <v>Sample</v>
      </c>
    </row>
    <row r="61" spans="1:6" x14ac:dyDescent="0.25">
      <c r="A61" t="s">
        <v>91</v>
      </c>
      <c r="B61" t="str">
        <f>IFERROR(INDEX(Data!$G:$G,MATCH(ABI!A61,Data!$I:$I,0),1),"")</f>
        <v>240115-1213-env-f</v>
      </c>
      <c r="C61" t="str">
        <f t="shared" si="2"/>
        <v>Std_Seq_Assay-POP7</v>
      </c>
      <c r="D61" t="str">
        <f t="shared" si="2"/>
        <v>HIV</v>
      </c>
      <c r="E61" t="str">
        <f t="shared" si="2"/>
        <v>HIV</v>
      </c>
      <c r="F61" t="str">
        <f t="shared" si="2"/>
        <v>Sample</v>
      </c>
    </row>
    <row r="62" spans="1:6" x14ac:dyDescent="0.25">
      <c r="A62" t="s">
        <v>92</v>
      </c>
      <c r="B62" t="str">
        <f>IFERROR(INDEX(Data!$G:$G,MATCH(ABI!A62,Data!$I:$I,0),1),"")</f>
        <v>240115-1213-env-r</v>
      </c>
      <c r="C62" t="str">
        <f t="shared" si="2"/>
        <v>Std_Seq_Assay-POP7</v>
      </c>
      <c r="D62" t="str">
        <f t="shared" si="2"/>
        <v>HIV</v>
      </c>
      <c r="E62" t="str">
        <f t="shared" si="2"/>
        <v>HIV</v>
      </c>
      <c r="F62" t="str">
        <f t="shared" si="2"/>
        <v>Sample</v>
      </c>
    </row>
    <row r="63" spans="1:6" x14ac:dyDescent="0.25">
      <c r="A63" t="s">
        <v>93</v>
      </c>
      <c r="B63" t="str">
        <f>IFERROR(INDEX(Data!$G:$G,MATCH(ABI!A63,Data!$I:$I,0),1),"")</f>
        <v>240115-188a-env-f</v>
      </c>
      <c r="C63" t="str">
        <f t="shared" si="2"/>
        <v>Std_Seq_Assay-POP7</v>
      </c>
      <c r="D63" t="str">
        <f t="shared" si="2"/>
        <v>HIV</v>
      </c>
      <c r="E63" t="str">
        <f t="shared" si="2"/>
        <v>HIV</v>
      </c>
      <c r="F63" t="str">
        <f t="shared" si="2"/>
        <v>Sample</v>
      </c>
    </row>
    <row r="64" spans="1:6" x14ac:dyDescent="0.25">
      <c r="A64" t="s">
        <v>94</v>
      </c>
      <c r="B64" t="str">
        <f>IFERROR(INDEX(Data!$G:$G,MATCH(ABI!A64,Data!$I:$I,0),1),"")</f>
        <v>240115-188a-env-r</v>
      </c>
      <c r="C64" t="str">
        <f t="shared" si="2"/>
        <v>Std_Seq_Assay-POP7</v>
      </c>
      <c r="D64" t="str">
        <f t="shared" si="2"/>
        <v>HIV</v>
      </c>
      <c r="E64" t="str">
        <f t="shared" si="2"/>
        <v>HIV</v>
      </c>
      <c r="F64" t="str">
        <f t="shared" si="2"/>
        <v>Sample</v>
      </c>
    </row>
    <row r="65" spans="1:6" x14ac:dyDescent="0.25">
      <c r="A65" t="s">
        <v>95</v>
      </c>
      <c r="B65" t="str">
        <f>IFERROR(INDEX(Data!$G:$G,MATCH(ABI!A65,Data!$I:$I,0),1),"")</f>
        <v>240115-191a-env-f</v>
      </c>
      <c r="C65" t="str">
        <f t="shared" si="2"/>
        <v>Std_Seq_Assay-POP7</v>
      </c>
      <c r="D65" t="str">
        <f t="shared" si="2"/>
        <v>HIV</v>
      </c>
      <c r="E65" t="str">
        <f t="shared" si="2"/>
        <v>HIV</v>
      </c>
      <c r="F65" t="str">
        <f t="shared" si="2"/>
        <v>Sample</v>
      </c>
    </row>
    <row r="66" spans="1:6" x14ac:dyDescent="0.25">
      <c r="A66" t="s">
        <v>96</v>
      </c>
      <c r="B66" t="str">
        <f>IFERROR(INDEX(Data!$G:$G,MATCH(ABI!A66,Data!$I:$I,0),1),"")</f>
        <v>240115-191a-env-r</v>
      </c>
      <c r="C66" t="str">
        <f t="shared" si="2"/>
        <v>Std_Seq_Assay-POP7</v>
      </c>
      <c r="D66" t="str">
        <f t="shared" si="2"/>
        <v>HIV</v>
      </c>
      <c r="E66" t="str">
        <f t="shared" si="2"/>
        <v>HIV</v>
      </c>
      <c r="F66" t="str">
        <f t="shared" si="2"/>
        <v>Sample</v>
      </c>
    </row>
    <row r="67" spans="1:6" x14ac:dyDescent="0.25">
      <c r="A67" t="s">
        <v>97</v>
      </c>
      <c r="B67" t="str">
        <f>IFERROR(INDEX(Data!$G:$G,MATCH(ABI!A67,Data!$I:$I,0),1),"")</f>
        <v>240115-213a-env-f</v>
      </c>
      <c r="C67" t="str">
        <f t="shared" si="2"/>
        <v>Std_Seq_Assay-POP7</v>
      </c>
      <c r="D67" t="str">
        <f t="shared" si="2"/>
        <v>HIV</v>
      </c>
      <c r="E67" t="str">
        <f t="shared" si="2"/>
        <v>HIV</v>
      </c>
      <c r="F67" t="str">
        <f t="shared" si="2"/>
        <v>Sample</v>
      </c>
    </row>
    <row r="68" spans="1:6" x14ac:dyDescent="0.25">
      <c r="A68" t="s">
        <v>98</v>
      </c>
      <c r="B68" t="str">
        <f>IFERROR(INDEX(Data!$G:$G,MATCH(ABI!A68,Data!$I:$I,0),1),"")</f>
        <v>240115-213a-env-r</v>
      </c>
      <c r="C68" t="str">
        <f t="shared" si="2"/>
        <v>Std_Seq_Assay-POP7</v>
      </c>
      <c r="D68" t="str">
        <f t="shared" si="2"/>
        <v>HIV</v>
      </c>
      <c r="E68" t="str">
        <f t="shared" si="2"/>
        <v>HIV</v>
      </c>
      <c r="F68" t="str">
        <f t="shared" si="2"/>
        <v>Sample</v>
      </c>
    </row>
    <row r="69" spans="1:6" x14ac:dyDescent="0.25">
      <c r="A69" t="s">
        <v>99</v>
      </c>
      <c r="B69" t="str">
        <f>IFERROR(INDEX(Data!$G:$G,MATCH(ABI!A69,Data!$I:$I,0),1),"")</f>
        <v>240115-214a-env-f</v>
      </c>
      <c r="C69" t="str">
        <f t="shared" si="2"/>
        <v>Std_Seq_Assay-POP7</v>
      </c>
      <c r="D69" t="str">
        <f t="shared" si="2"/>
        <v>HIV</v>
      </c>
      <c r="E69" t="str">
        <f t="shared" si="2"/>
        <v>HIV</v>
      </c>
      <c r="F69" t="str">
        <f t="shared" si="2"/>
        <v>Sample</v>
      </c>
    </row>
    <row r="70" spans="1:6" x14ac:dyDescent="0.25">
      <c r="A70" t="s">
        <v>100</v>
      </c>
      <c r="B70" t="str">
        <f>IFERROR(INDEX(Data!$G:$G,MATCH(ABI!A70,Data!$I:$I,0),1),"")</f>
        <v>240115-214a-env-r</v>
      </c>
      <c r="C70" t="str">
        <f t="shared" si="2"/>
        <v>Std_Seq_Assay-POP7</v>
      </c>
      <c r="D70" t="str">
        <f t="shared" si="2"/>
        <v>HIV</v>
      </c>
      <c r="E70" t="str">
        <f t="shared" si="2"/>
        <v>HIV</v>
      </c>
      <c r="F70" t="str">
        <f t="shared" si="2"/>
        <v>Sample</v>
      </c>
    </row>
    <row r="71" spans="1:6" x14ac:dyDescent="0.25">
      <c r="A71" t="s">
        <v>101</v>
      </c>
      <c r="B71" t="str">
        <f>IFERROR(INDEX(Data!$G:$G,MATCH(ABI!A71,Data!$I:$I,0),1),"")</f>
        <v>240115-216a-env-f</v>
      </c>
      <c r="C71" t="str">
        <f t="shared" si="2"/>
        <v>Std_Seq_Assay-POP7</v>
      </c>
      <c r="D71" t="str">
        <f t="shared" si="2"/>
        <v>HIV</v>
      </c>
      <c r="E71" t="str">
        <f t="shared" si="2"/>
        <v>HIV</v>
      </c>
      <c r="F71" t="str">
        <f t="shared" si="2"/>
        <v>Sample</v>
      </c>
    </row>
    <row r="72" spans="1:6" x14ac:dyDescent="0.25">
      <c r="A72" t="s">
        <v>102</v>
      </c>
      <c r="B72" t="str">
        <f>IFERROR(INDEX(Data!$G:$G,MATCH(ABI!A72,Data!$I:$I,0),1),"")</f>
        <v>240115-216a-env-r</v>
      </c>
      <c r="C72" t="str">
        <f t="shared" si="2"/>
        <v>Std_Seq_Assay-POP7</v>
      </c>
      <c r="D72" t="str">
        <f t="shared" si="2"/>
        <v>HIV</v>
      </c>
      <c r="E72" t="str">
        <f t="shared" si="2"/>
        <v>HIV</v>
      </c>
      <c r="F72" t="str">
        <f t="shared" si="2"/>
        <v>Sample</v>
      </c>
    </row>
    <row r="73" spans="1:6" x14ac:dyDescent="0.25">
      <c r="A73" t="s">
        <v>103</v>
      </c>
      <c r="B73" t="str">
        <f>IFERROR(INDEX(Data!$G:$G,MATCH(ABI!A73,Data!$I:$I,0),1),"")</f>
        <v>240115-219a-env-f</v>
      </c>
      <c r="C73" t="str">
        <f t="shared" ref="C73:F102" si="3">IF($B73&lt;&gt;"",C$7,"")</f>
        <v>Std_Seq_Assay-POP7</v>
      </c>
      <c r="D73" t="str">
        <f t="shared" si="3"/>
        <v>HIV</v>
      </c>
      <c r="E73" t="str">
        <f t="shared" si="3"/>
        <v>HIV</v>
      </c>
      <c r="F73" t="str">
        <f t="shared" si="3"/>
        <v>Sample</v>
      </c>
    </row>
    <row r="74" spans="1:6" x14ac:dyDescent="0.25">
      <c r="A74" t="s">
        <v>104</v>
      </c>
      <c r="B74" t="str">
        <f>IFERROR(INDEX(Data!$G:$G,MATCH(ABI!A74,Data!$I:$I,0),1),"")</f>
        <v>240115-219a-env-r</v>
      </c>
      <c r="C74" t="str">
        <f t="shared" si="3"/>
        <v>Std_Seq_Assay-POP7</v>
      </c>
      <c r="D74" t="str">
        <f t="shared" si="3"/>
        <v>HIV</v>
      </c>
      <c r="E74" t="str">
        <f t="shared" si="3"/>
        <v>HIV</v>
      </c>
      <c r="F74" t="str">
        <f t="shared" si="3"/>
        <v>Sample</v>
      </c>
    </row>
    <row r="75" spans="1:6" x14ac:dyDescent="0.25">
      <c r="A75" t="s">
        <v>105</v>
      </c>
      <c r="B75" t="str">
        <f>IFERROR(INDEX(Data!$G:$G,MATCH(ABI!A75,Data!$I:$I,0),1),"")</f>
        <v>240115-220a-env-f</v>
      </c>
      <c r="C75" t="str">
        <f t="shared" si="3"/>
        <v>Std_Seq_Assay-POP7</v>
      </c>
      <c r="D75" t="str">
        <f t="shared" si="3"/>
        <v>HIV</v>
      </c>
      <c r="E75" t="str">
        <f t="shared" si="3"/>
        <v>HIV</v>
      </c>
      <c r="F75" t="str">
        <f t="shared" si="3"/>
        <v>Sample</v>
      </c>
    </row>
    <row r="76" spans="1:6" x14ac:dyDescent="0.25">
      <c r="A76" t="s">
        <v>106</v>
      </c>
      <c r="B76" t="str">
        <f>IFERROR(INDEX(Data!$G:$G,MATCH(ABI!A76,Data!$I:$I,0),1),"")</f>
        <v>240115-220a-env-r</v>
      </c>
      <c r="C76" t="str">
        <f t="shared" si="3"/>
        <v>Std_Seq_Assay-POP7</v>
      </c>
      <c r="D76" t="str">
        <f t="shared" si="3"/>
        <v>HIV</v>
      </c>
      <c r="E76" t="str">
        <f t="shared" si="3"/>
        <v>HIV</v>
      </c>
      <c r="F76" t="str">
        <f t="shared" si="3"/>
        <v>Sample</v>
      </c>
    </row>
    <row r="77" spans="1:6" x14ac:dyDescent="0.25">
      <c r="A77" t="s">
        <v>107</v>
      </c>
      <c r="B77" t="str">
        <f>IFERROR(INDEX(Data!$G:$G,MATCH(ABI!A77,Data!$I:$I,0),1),"")</f>
        <v>240115-222a-env-f</v>
      </c>
      <c r="C77" t="str">
        <f t="shared" si="3"/>
        <v>Std_Seq_Assay-POP7</v>
      </c>
      <c r="D77" t="str">
        <f t="shared" si="3"/>
        <v>HIV</v>
      </c>
      <c r="E77" t="str">
        <f t="shared" si="3"/>
        <v>HIV</v>
      </c>
      <c r="F77" t="str">
        <f t="shared" si="3"/>
        <v>Sample</v>
      </c>
    </row>
    <row r="78" spans="1:6" x14ac:dyDescent="0.25">
      <c r="A78" t="s">
        <v>108</v>
      </c>
      <c r="B78" t="str">
        <f>IFERROR(INDEX(Data!$G:$G,MATCH(ABI!A78,Data!$I:$I,0),1),"")</f>
        <v>240115-222a-env-r</v>
      </c>
      <c r="C78" t="str">
        <f t="shared" si="3"/>
        <v>Std_Seq_Assay-POP7</v>
      </c>
      <c r="D78" t="str">
        <f t="shared" si="3"/>
        <v>HIV</v>
      </c>
      <c r="E78" t="str">
        <f t="shared" si="3"/>
        <v>HIV</v>
      </c>
      <c r="F78" t="str">
        <f t="shared" si="3"/>
        <v>Sample</v>
      </c>
    </row>
    <row r="79" spans="1:6" x14ac:dyDescent="0.25">
      <c r="A79" t="s">
        <v>109</v>
      </c>
      <c r="B79" t="str">
        <f>IFERROR(INDEX(Data!$G:$G,MATCH(ABI!A79,Data!$I:$I,0),1),"")</f>
        <v>240115-226a-env-f</v>
      </c>
      <c r="C79" t="str">
        <f t="shared" si="3"/>
        <v>Std_Seq_Assay-POP7</v>
      </c>
      <c r="D79" t="str">
        <f t="shared" si="3"/>
        <v>HIV</v>
      </c>
      <c r="E79" t="str">
        <f t="shared" si="3"/>
        <v>HIV</v>
      </c>
      <c r="F79" t="str">
        <f t="shared" si="3"/>
        <v>Sample</v>
      </c>
    </row>
    <row r="80" spans="1:6" x14ac:dyDescent="0.25">
      <c r="A80" t="s">
        <v>110</v>
      </c>
      <c r="B80" t="str">
        <f>IFERROR(INDEX(Data!$G:$G,MATCH(ABI!A80,Data!$I:$I,0),1),"")</f>
        <v>240115-226a-env-r</v>
      </c>
      <c r="C80" t="str">
        <f t="shared" si="3"/>
        <v>Std_Seq_Assay-POP7</v>
      </c>
      <c r="D80" t="str">
        <f t="shared" si="3"/>
        <v>HIV</v>
      </c>
      <c r="E80" t="str">
        <f t="shared" si="3"/>
        <v>HIV</v>
      </c>
      <c r="F80" t="str">
        <f t="shared" si="3"/>
        <v>Sample</v>
      </c>
    </row>
    <row r="81" spans="1:6" x14ac:dyDescent="0.25">
      <c r="A81" t="s">
        <v>111</v>
      </c>
      <c r="B81" t="str">
        <f>IFERROR(INDEX(Data!$G:$G,MATCH(ABI!A81,Data!$I:$I,0),1),"")</f>
        <v>240115-228a-env-f</v>
      </c>
      <c r="C81" t="str">
        <f t="shared" si="3"/>
        <v>Std_Seq_Assay-POP7</v>
      </c>
      <c r="D81" t="str">
        <f t="shared" si="3"/>
        <v>HIV</v>
      </c>
      <c r="E81" t="str">
        <f t="shared" si="3"/>
        <v>HIV</v>
      </c>
      <c r="F81" t="str">
        <f t="shared" si="3"/>
        <v>Sample</v>
      </c>
    </row>
    <row r="82" spans="1:6" x14ac:dyDescent="0.25">
      <c r="A82" t="s">
        <v>112</v>
      </c>
      <c r="B82" t="str">
        <f>IFERROR(INDEX(Data!$G:$G,MATCH(ABI!A82,Data!$I:$I,0),1),"")</f>
        <v>240115-228a-env-r</v>
      </c>
      <c r="C82" t="str">
        <f t="shared" si="3"/>
        <v>Std_Seq_Assay-POP7</v>
      </c>
      <c r="D82" t="str">
        <f t="shared" si="3"/>
        <v>HIV</v>
      </c>
      <c r="E82" t="str">
        <f t="shared" si="3"/>
        <v>HIV</v>
      </c>
      <c r="F82" t="str">
        <f t="shared" si="3"/>
        <v>Sample</v>
      </c>
    </row>
    <row r="83" spans="1:6" x14ac:dyDescent="0.25">
      <c r="A83" t="s">
        <v>113</v>
      </c>
      <c r="B83" t="str">
        <f>IFERROR(INDEX(Data!$G:$G,MATCH(ABI!A83,Data!$I:$I,0),1),"")</f>
        <v>240115-229a-env-f</v>
      </c>
      <c r="C83" t="str">
        <f t="shared" si="3"/>
        <v>Std_Seq_Assay-POP7</v>
      </c>
      <c r="D83" t="str">
        <f t="shared" si="3"/>
        <v>HIV</v>
      </c>
      <c r="E83" t="str">
        <f t="shared" si="3"/>
        <v>HIV</v>
      </c>
      <c r="F83" t="str">
        <f t="shared" si="3"/>
        <v>Sample</v>
      </c>
    </row>
    <row r="84" spans="1:6" x14ac:dyDescent="0.25">
      <c r="A84" t="s">
        <v>114</v>
      </c>
      <c r="B84" t="str">
        <f>IFERROR(INDEX(Data!$G:$G,MATCH(ABI!A84,Data!$I:$I,0),1),"")</f>
        <v>240115-229a-env-r</v>
      </c>
      <c r="C84" t="str">
        <f t="shared" si="3"/>
        <v>Std_Seq_Assay-POP7</v>
      </c>
      <c r="D84" t="str">
        <f t="shared" si="3"/>
        <v>HIV</v>
      </c>
      <c r="E84" t="str">
        <f t="shared" si="3"/>
        <v>HIV</v>
      </c>
      <c r="F84" t="str">
        <f t="shared" si="3"/>
        <v>Sample</v>
      </c>
    </row>
    <row r="85" spans="1:6" x14ac:dyDescent="0.25">
      <c r="A85" t="s">
        <v>115</v>
      </c>
      <c r="B85" t="str">
        <f>IFERROR(INDEX(Data!$G:$G,MATCH(ABI!A85,Data!$I:$I,0),1),"")</f>
        <v>240115-231a-env-f</v>
      </c>
      <c r="C85" t="str">
        <f t="shared" si="3"/>
        <v>Std_Seq_Assay-POP7</v>
      </c>
      <c r="D85" t="str">
        <f t="shared" si="3"/>
        <v>HIV</v>
      </c>
      <c r="E85" t="str">
        <f t="shared" si="3"/>
        <v>HIV</v>
      </c>
      <c r="F85" t="str">
        <f t="shared" si="3"/>
        <v>Sample</v>
      </c>
    </row>
    <row r="86" spans="1:6" x14ac:dyDescent="0.25">
      <c r="A86" t="s">
        <v>116</v>
      </c>
      <c r="B86" t="str">
        <f>IFERROR(INDEX(Data!$G:$G,MATCH(ABI!A86,Data!$I:$I,0),1),"")</f>
        <v>240115-231a-env-r</v>
      </c>
      <c r="C86" t="str">
        <f t="shared" si="3"/>
        <v>Std_Seq_Assay-POP7</v>
      </c>
      <c r="D86" t="str">
        <f t="shared" si="3"/>
        <v>HIV</v>
      </c>
      <c r="E86" t="str">
        <f t="shared" si="3"/>
        <v>HIV</v>
      </c>
      <c r="F86" t="str">
        <f t="shared" si="3"/>
        <v>Sample</v>
      </c>
    </row>
    <row r="87" spans="1:6" x14ac:dyDescent="0.25">
      <c r="A87" t="s">
        <v>117</v>
      </c>
      <c r="B87" t="str">
        <f>IFERROR(INDEX(Data!$G:$G,MATCH(ABI!A87,Data!$I:$I,0),1),"")</f>
        <v>240115-232a-env-f</v>
      </c>
      <c r="C87" t="str">
        <f t="shared" si="3"/>
        <v>Std_Seq_Assay-POP7</v>
      </c>
      <c r="D87" t="str">
        <f t="shared" si="3"/>
        <v>HIV</v>
      </c>
      <c r="E87" t="str">
        <f t="shared" si="3"/>
        <v>HIV</v>
      </c>
      <c r="F87" t="str">
        <f t="shared" si="3"/>
        <v>Sample</v>
      </c>
    </row>
    <row r="88" spans="1:6" x14ac:dyDescent="0.25">
      <c r="A88" t="s">
        <v>118</v>
      </c>
      <c r="B88" t="str">
        <f>IFERROR(INDEX(Data!$G:$G,MATCH(ABI!A88,Data!$I:$I,0),1),"")</f>
        <v>240115-232a-env-r</v>
      </c>
      <c r="C88" t="str">
        <f t="shared" si="3"/>
        <v>Std_Seq_Assay-POP7</v>
      </c>
      <c r="D88" t="str">
        <f t="shared" si="3"/>
        <v>HIV</v>
      </c>
      <c r="E88" t="str">
        <f t="shared" si="3"/>
        <v>HIV</v>
      </c>
      <c r="F88" t="str">
        <f t="shared" si="3"/>
        <v>Sample</v>
      </c>
    </row>
    <row r="89" spans="1:6" x14ac:dyDescent="0.25">
      <c r="A89" t="s">
        <v>119</v>
      </c>
      <c r="B89" t="str">
        <f>IFERROR(INDEX(Data!$G:$G,MATCH(ABI!A89,Data!$I:$I,0),1),"")</f>
        <v>240115-234a-env-f</v>
      </c>
      <c r="C89" t="str">
        <f t="shared" si="3"/>
        <v>Std_Seq_Assay-POP7</v>
      </c>
      <c r="D89" t="str">
        <f t="shared" si="3"/>
        <v>HIV</v>
      </c>
      <c r="E89" t="str">
        <f t="shared" si="3"/>
        <v>HIV</v>
      </c>
      <c r="F89" t="str">
        <f t="shared" si="3"/>
        <v>Sample</v>
      </c>
    </row>
    <row r="90" spans="1:6" x14ac:dyDescent="0.25">
      <c r="A90" t="s">
        <v>120</v>
      </c>
      <c r="B90" t="str">
        <f>IFERROR(INDEX(Data!$G:$G,MATCH(ABI!A90,Data!$I:$I,0),1),"")</f>
        <v>240115-234a-env-r</v>
      </c>
      <c r="C90" t="str">
        <f t="shared" si="3"/>
        <v>Std_Seq_Assay-POP7</v>
      </c>
      <c r="D90" t="str">
        <f t="shared" si="3"/>
        <v>HIV</v>
      </c>
      <c r="E90" t="str">
        <f t="shared" si="3"/>
        <v>HIV</v>
      </c>
      <c r="F90" t="str">
        <f t="shared" si="3"/>
        <v>Sample</v>
      </c>
    </row>
    <row r="91" spans="1:6" x14ac:dyDescent="0.25">
      <c r="A91" t="s">
        <v>121</v>
      </c>
      <c r="B91" t="str">
        <f>IFERROR(INDEX(Data!$G:$G,MATCH(ABI!A91,Data!$I:$I,0),1),"")</f>
        <v>240115-235a-env-f</v>
      </c>
      <c r="C91" t="str">
        <f t="shared" si="3"/>
        <v>Std_Seq_Assay-POP7</v>
      </c>
      <c r="D91" t="str">
        <f t="shared" si="3"/>
        <v>HIV</v>
      </c>
      <c r="E91" t="str">
        <f t="shared" si="3"/>
        <v>HIV</v>
      </c>
      <c r="F91" t="str">
        <f t="shared" si="3"/>
        <v>Sample</v>
      </c>
    </row>
    <row r="92" spans="1:6" x14ac:dyDescent="0.25">
      <c r="A92" t="s">
        <v>122</v>
      </c>
      <c r="B92" t="str">
        <f>IFERROR(INDEX(Data!$G:$G,MATCH(ABI!A92,Data!$I:$I,0),1),"")</f>
        <v>240115-235a-env-r</v>
      </c>
      <c r="C92" t="str">
        <f t="shared" si="3"/>
        <v>Std_Seq_Assay-POP7</v>
      </c>
      <c r="D92" t="str">
        <f t="shared" si="3"/>
        <v>HIV</v>
      </c>
      <c r="E92" t="str">
        <f t="shared" si="3"/>
        <v>HIV</v>
      </c>
      <c r="F92" t="str">
        <f t="shared" si="3"/>
        <v>Sample</v>
      </c>
    </row>
    <row r="93" spans="1:6" x14ac:dyDescent="0.25">
      <c r="A93" t="s">
        <v>123</v>
      </c>
      <c r="B93" t="str">
        <f>IFERROR(INDEX(Data!$G:$G,MATCH(ABI!A93,Data!$I:$I,0),1),"")</f>
        <v>240115-239a-env-f</v>
      </c>
      <c r="C93" t="str">
        <f t="shared" si="3"/>
        <v>Std_Seq_Assay-POP7</v>
      </c>
      <c r="D93" t="str">
        <f t="shared" si="3"/>
        <v>HIV</v>
      </c>
      <c r="E93" t="str">
        <f t="shared" si="3"/>
        <v>HIV</v>
      </c>
      <c r="F93" t="str">
        <f t="shared" si="3"/>
        <v>Sample</v>
      </c>
    </row>
    <row r="94" spans="1:6" x14ac:dyDescent="0.25">
      <c r="A94" t="s">
        <v>124</v>
      </c>
      <c r="B94" t="str">
        <f>IFERROR(INDEX(Data!$G:$G,MATCH(ABI!A94,Data!$I:$I,0),1),"")</f>
        <v>240115-239a-env-r</v>
      </c>
      <c r="C94" t="str">
        <f t="shared" si="3"/>
        <v>Std_Seq_Assay-POP7</v>
      </c>
      <c r="D94" t="str">
        <f t="shared" si="3"/>
        <v>HIV</v>
      </c>
      <c r="E94" t="str">
        <f t="shared" si="3"/>
        <v>HIV</v>
      </c>
      <c r="F94" t="str">
        <f t="shared" si="3"/>
        <v>Sample</v>
      </c>
    </row>
    <row r="95" spans="1:6" x14ac:dyDescent="0.25">
      <c r="A95" t="s">
        <v>125</v>
      </c>
      <c r="B95" t="str">
        <f>IFERROR(INDEX(Data!$G:$G,MATCH(ABI!A95,Data!$I:$I,0),1),"")</f>
        <v>240115-240a-env-f</v>
      </c>
      <c r="C95" t="str">
        <f t="shared" si="3"/>
        <v>Std_Seq_Assay-POP7</v>
      </c>
      <c r="D95" t="str">
        <f t="shared" si="3"/>
        <v>HIV</v>
      </c>
      <c r="E95" t="str">
        <f t="shared" si="3"/>
        <v>HIV</v>
      </c>
      <c r="F95" t="str">
        <f t="shared" si="3"/>
        <v>Sample</v>
      </c>
    </row>
    <row r="96" spans="1:6" x14ac:dyDescent="0.25">
      <c r="A96" t="s">
        <v>126</v>
      </c>
      <c r="B96" t="str">
        <f>IFERROR(INDEX(Data!$G:$G,MATCH(ABI!A96,Data!$I:$I,0),1),"")</f>
        <v>240115-240a-env-r</v>
      </c>
      <c r="C96" t="str">
        <f t="shared" si="3"/>
        <v>Std_Seq_Assay-POP7</v>
      </c>
      <c r="D96" t="str">
        <f t="shared" si="3"/>
        <v>HIV</v>
      </c>
      <c r="E96" t="str">
        <f t="shared" si="3"/>
        <v>HIV</v>
      </c>
      <c r="F96" t="str">
        <f t="shared" si="3"/>
        <v>Sample</v>
      </c>
    </row>
    <row r="97" spans="1:6" x14ac:dyDescent="0.25">
      <c r="A97" t="s">
        <v>127</v>
      </c>
      <c r="B97" t="str">
        <f>IFERROR(INDEX(Data!$G:$G,MATCH(ABI!A97,Data!$I:$I,0),1),"")</f>
        <v>240115-241a-env-f</v>
      </c>
      <c r="C97" t="str">
        <f t="shared" si="3"/>
        <v>Std_Seq_Assay-POP7</v>
      </c>
      <c r="D97" t="str">
        <f t="shared" si="3"/>
        <v>HIV</v>
      </c>
      <c r="E97" t="str">
        <f t="shared" si="3"/>
        <v>HIV</v>
      </c>
      <c r="F97" t="str">
        <f t="shared" si="3"/>
        <v>Sample</v>
      </c>
    </row>
    <row r="98" spans="1:6" x14ac:dyDescent="0.25">
      <c r="A98" t="s">
        <v>128</v>
      </c>
      <c r="B98" t="str">
        <f>IFERROR(INDEX(Data!$G:$G,MATCH(ABI!A98,Data!$I:$I,0),1),"")</f>
        <v>240115-241a-env-r</v>
      </c>
      <c r="C98" t="str">
        <f t="shared" si="3"/>
        <v>Std_Seq_Assay-POP7</v>
      </c>
      <c r="D98" t="str">
        <f t="shared" si="3"/>
        <v>HIV</v>
      </c>
      <c r="E98" t="str">
        <f t="shared" si="3"/>
        <v>HIV</v>
      </c>
      <c r="F98" t="str">
        <f t="shared" si="3"/>
        <v>Sample</v>
      </c>
    </row>
    <row r="99" spans="1:6" x14ac:dyDescent="0.25">
      <c r="A99" t="s">
        <v>129</v>
      </c>
      <c r="B99" t="str">
        <f>IFERROR(INDEX(Data!$G:$G,MATCH(ABI!A99,Data!$I:$I,0),1),"")</f>
        <v>240115-243a-env-f</v>
      </c>
      <c r="C99" t="str">
        <f t="shared" si="3"/>
        <v>Std_Seq_Assay-POP7</v>
      </c>
      <c r="D99" t="str">
        <f t="shared" si="3"/>
        <v>HIV</v>
      </c>
      <c r="E99" t="str">
        <f t="shared" si="3"/>
        <v>HIV</v>
      </c>
      <c r="F99" t="str">
        <f t="shared" si="3"/>
        <v>Sample</v>
      </c>
    </row>
    <row r="100" spans="1:6" x14ac:dyDescent="0.25">
      <c r="A100" t="s">
        <v>130</v>
      </c>
      <c r="B100" t="str">
        <f>IFERROR(INDEX(Data!$G:$G,MATCH(ABI!A100,Data!$I:$I,0),1),"")</f>
        <v>240115-243a-env-r</v>
      </c>
      <c r="C100" t="str">
        <f t="shared" si="3"/>
        <v>Std_Seq_Assay-POP7</v>
      </c>
      <c r="D100" t="str">
        <f t="shared" si="3"/>
        <v>HIV</v>
      </c>
      <c r="E100" t="str">
        <f t="shared" si="3"/>
        <v>HIV</v>
      </c>
      <c r="F100" t="str">
        <f t="shared" si="3"/>
        <v>Sample</v>
      </c>
    </row>
    <row r="101" spans="1:6" x14ac:dyDescent="0.25">
      <c r="A101" t="s">
        <v>131</v>
      </c>
      <c r="B101" t="str">
        <f>IFERROR(INDEX(Data!$G:$G,MATCH(ABI!A101,Data!$I:$I,0),1),"")</f>
        <v>240115-244a-env-f</v>
      </c>
      <c r="C101" t="str">
        <f t="shared" si="3"/>
        <v>Std_Seq_Assay-POP7</v>
      </c>
      <c r="D101" t="str">
        <f t="shared" si="3"/>
        <v>HIV</v>
      </c>
      <c r="E101" t="str">
        <f t="shared" si="3"/>
        <v>HIV</v>
      </c>
      <c r="F101" t="str">
        <f t="shared" si="3"/>
        <v>Sample</v>
      </c>
    </row>
    <row r="102" spans="1:6" x14ac:dyDescent="0.25">
      <c r="A102" t="s">
        <v>132</v>
      </c>
      <c r="B102" t="str">
        <f>IFERROR(INDEX(Data!$G:$G,MATCH(ABI!A102,Data!$I:$I,0),1),"")</f>
        <v>240115-244a-env-r</v>
      </c>
      <c r="C102" t="str">
        <f t="shared" si="3"/>
        <v>Std_Seq_Assay-POP7</v>
      </c>
      <c r="D102" t="str">
        <f t="shared" si="3"/>
        <v>HIV</v>
      </c>
      <c r="E102" t="str">
        <f t="shared" si="3"/>
        <v>HIV</v>
      </c>
      <c r="F102" t="str">
        <f t="shared" si="3"/>
        <v>Sample</v>
      </c>
    </row>
  </sheetData>
  <mergeCells count="1">
    <mergeCell ref="A1:N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5"/>
  <dimension ref="A1:L49"/>
  <sheetViews>
    <sheetView workbookViewId="0">
      <selection activeCell="G2" sqref="G2"/>
    </sheetView>
  </sheetViews>
  <sheetFormatPr defaultRowHeight="15" x14ac:dyDescent="0.25"/>
  <cols>
    <col min="1" max="1" width="8.85546875" bestFit="1" customWidth="1"/>
    <col min="2" max="2" width="7.140625" bestFit="1" customWidth="1"/>
    <col min="3" max="4" width="8.7109375" bestFit="1" customWidth="1"/>
    <col min="5" max="6" width="20.85546875" bestFit="1" customWidth="1"/>
    <col min="7" max="7" width="19.85546875" bestFit="1" customWidth="1"/>
    <col min="8" max="8" width="17.42578125" bestFit="1" customWidth="1"/>
    <col min="9" max="9" width="14.28515625" bestFit="1" customWidth="1"/>
    <col min="10" max="10" width="10.28515625" bestFit="1" customWidth="1"/>
  </cols>
  <sheetData>
    <row r="1" spans="1:12" x14ac:dyDescent="0.25">
      <c r="A1" t="s">
        <v>151</v>
      </c>
      <c r="B1" t="s">
        <v>152</v>
      </c>
      <c r="C1" t="s">
        <v>153</v>
      </c>
      <c r="D1" t="s">
        <v>154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tr">
        <f>""</f>
        <v/>
      </c>
    </row>
    <row r="2" spans="1:12" x14ac:dyDescent="0.25">
      <c r="B2" t="s">
        <v>163</v>
      </c>
      <c r="G2" s="2" t="s">
        <v>210</v>
      </c>
      <c r="H2" s="17">
        <v>44978</v>
      </c>
      <c r="I2" s="17">
        <v>44977.298935185187</v>
      </c>
      <c r="J2" s="2" t="s">
        <v>162</v>
      </c>
      <c r="K2" t="str">
        <f>""</f>
        <v/>
      </c>
      <c r="L2" t="str">
        <f>""</f>
        <v/>
      </c>
    </row>
    <row r="3" spans="1:12" x14ac:dyDescent="0.25">
      <c r="B3" t="s">
        <v>164</v>
      </c>
      <c r="G3" t="str">
        <f t="shared" ref="G3:G49" si="0">G2</f>
        <v>мазок</v>
      </c>
      <c r="H3" s="16">
        <f t="shared" ref="H3:H49" si="1">H2+0.0005</f>
        <v>44978.000500000002</v>
      </c>
      <c r="I3" s="16">
        <f t="shared" ref="I3:I49" si="2">I2+0.0005</f>
        <v>44977.299435185188</v>
      </c>
      <c r="J3" t="str">
        <f t="shared" ref="J3:J49" si="3">J2</f>
        <v>Cov-Bat#</v>
      </c>
      <c r="K3" t="str">
        <f t="shared" ref="K3:L49" si="4">K2</f>
        <v/>
      </c>
      <c r="L3" t="str">
        <f t="shared" si="4"/>
        <v/>
      </c>
    </row>
    <row r="4" spans="1:12" x14ac:dyDescent="0.25">
      <c r="B4" t="s">
        <v>165</v>
      </c>
      <c r="G4" t="str">
        <f t="shared" si="0"/>
        <v>мазок</v>
      </c>
      <c r="H4" s="16">
        <f t="shared" si="1"/>
        <v>44978.001000000004</v>
      </c>
      <c r="I4" s="16">
        <f t="shared" si="2"/>
        <v>44977.29993518519</v>
      </c>
      <c r="J4" t="str">
        <f t="shared" si="3"/>
        <v>Cov-Bat#</v>
      </c>
      <c r="K4" t="str">
        <f t="shared" si="4"/>
        <v/>
      </c>
      <c r="L4" t="str">
        <f t="shared" si="4"/>
        <v/>
      </c>
    </row>
    <row r="5" spans="1:12" x14ac:dyDescent="0.25">
      <c r="B5" t="s">
        <v>166</v>
      </c>
      <c r="G5" t="str">
        <f t="shared" si="0"/>
        <v>мазок</v>
      </c>
      <c r="H5" s="16">
        <f t="shared" si="1"/>
        <v>44978.001500000006</v>
      </c>
      <c r="I5" s="16">
        <f t="shared" si="2"/>
        <v>44977.300435185192</v>
      </c>
      <c r="J5" t="str">
        <f t="shared" si="3"/>
        <v>Cov-Bat#</v>
      </c>
      <c r="K5" t="str">
        <f t="shared" si="4"/>
        <v/>
      </c>
      <c r="L5" t="str">
        <f t="shared" si="4"/>
        <v/>
      </c>
    </row>
    <row r="6" spans="1:12" x14ac:dyDescent="0.25">
      <c r="B6" t="s">
        <v>167</v>
      </c>
      <c r="G6" t="str">
        <f t="shared" si="0"/>
        <v>мазок</v>
      </c>
      <c r="H6" s="16">
        <f t="shared" si="1"/>
        <v>44978.002000000008</v>
      </c>
      <c r="I6" s="16">
        <f t="shared" si="2"/>
        <v>44977.300935185194</v>
      </c>
      <c r="J6" t="str">
        <f t="shared" si="3"/>
        <v>Cov-Bat#</v>
      </c>
      <c r="K6" t="str">
        <f t="shared" si="4"/>
        <v/>
      </c>
      <c r="L6" t="str">
        <f t="shared" si="4"/>
        <v/>
      </c>
    </row>
    <row r="7" spans="1:12" x14ac:dyDescent="0.25">
      <c r="B7" t="s">
        <v>168</v>
      </c>
      <c r="G7" t="str">
        <f t="shared" si="0"/>
        <v>мазок</v>
      </c>
      <c r="H7" s="16">
        <f t="shared" si="1"/>
        <v>44978.00250000001</v>
      </c>
      <c r="I7" s="16">
        <f t="shared" si="2"/>
        <v>44977.301435185196</v>
      </c>
      <c r="J7" t="str">
        <f t="shared" si="3"/>
        <v>Cov-Bat#</v>
      </c>
      <c r="K7" t="str">
        <f t="shared" si="4"/>
        <v/>
      </c>
      <c r="L7" t="str">
        <f t="shared" si="4"/>
        <v/>
      </c>
    </row>
    <row r="8" spans="1:12" x14ac:dyDescent="0.25">
      <c r="B8" t="s">
        <v>169</v>
      </c>
      <c r="G8" t="str">
        <f t="shared" si="0"/>
        <v>мазок</v>
      </c>
      <c r="H8" s="16">
        <f t="shared" si="1"/>
        <v>44978.003000000012</v>
      </c>
      <c r="I8" s="16">
        <f t="shared" si="2"/>
        <v>44977.301935185198</v>
      </c>
      <c r="J8" t="str">
        <f t="shared" si="3"/>
        <v>Cov-Bat#</v>
      </c>
      <c r="K8" t="str">
        <f t="shared" si="4"/>
        <v/>
      </c>
      <c r="L8" t="str">
        <f t="shared" si="4"/>
        <v/>
      </c>
    </row>
    <row r="9" spans="1:12" x14ac:dyDescent="0.25">
      <c r="B9" t="s">
        <v>170</v>
      </c>
      <c r="G9" t="str">
        <f t="shared" si="0"/>
        <v>мазок</v>
      </c>
      <c r="H9" s="16">
        <f t="shared" si="1"/>
        <v>44978.003500000013</v>
      </c>
      <c r="I9" s="16">
        <f t="shared" si="2"/>
        <v>44977.3024351852</v>
      </c>
      <c r="J9" t="str">
        <f t="shared" si="3"/>
        <v>Cov-Bat#</v>
      </c>
      <c r="K9" t="str">
        <f t="shared" si="4"/>
        <v/>
      </c>
      <c r="L9" t="str">
        <f t="shared" si="4"/>
        <v/>
      </c>
    </row>
    <row r="10" spans="1:12" x14ac:dyDescent="0.25">
      <c r="B10" t="s">
        <v>171</v>
      </c>
      <c r="G10" t="str">
        <f t="shared" si="0"/>
        <v>мазок</v>
      </c>
      <c r="H10" s="16">
        <f t="shared" si="1"/>
        <v>44978.004000000015</v>
      </c>
      <c r="I10" s="16">
        <f t="shared" si="2"/>
        <v>44977.302935185202</v>
      </c>
      <c r="J10" t="str">
        <f t="shared" si="3"/>
        <v>Cov-Bat#</v>
      </c>
      <c r="K10" t="str">
        <f t="shared" si="4"/>
        <v/>
      </c>
      <c r="L10" t="str">
        <f t="shared" si="4"/>
        <v/>
      </c>
    </row>
    <row r="11" spans="1:12" x14ac:dyDescent="0.25">
      <c r="B11" t="s">
        <v>172</v>
      </c>
      <c r="G11" t="str">
        <f t="shared" si="0"/>
        <v>мазок</v>
      </c>
      <c r="H11" s="16">
        <f t="shared" si="1"/>
        <v>44978.004500000017</v>
      </c>
      <c r="I11" s="16">
        <f t="shared" si="2"/>
        <v>44977.303435185204</v>
      </c>
      <c r="J11" t="str">
        <f t="shared" si="3"/>
        <v>Cov-Bat#</v>
      </c>
      <c r="K11" t="str">
        <f t="shared" si="4"/>
        <v/>
      </c>
      <c r="L11" t="str">
        <f t="shared" si="4"/>
        <v/>
      </c>
    </row>
    <row r="12" spans="1:12" x14ac:dyDescent="0.25">
      <c r="B12" t="s">
        <v>173</v>
      </c>
      <c r="G12" t="str">
        <f t="shared" si="0"/>
        <v>мазок</v>
      </c>
      <c r="H12" s="16">
        <f t="shared" si="1"/>
        <v>44978.005000000019</v>
      </c>
      <c r="I12" s="16">
        <f t="shared" si="2"/>
        <v>44977.303935185206</v>
      </c>
      <c r="J12" t="str">
        <f t="shared" si="3"/>
        <v>Cov-Bat#</v>
      </c>
      <c r="K12" t="str">
        <f t="shared" si="4"/>
        <v/>
      </c>
      <c r="L12" t="str">
        <f t="shared" si="4"/>
        <v/>
      </c>
    </row>
    <row r="13" spans="1:12" x14ac:dyDescent="0.25">
      <c r="B13" t="s">
        <v>174</v>
      </c>
      <c r="G13" t="str">
        <f t="shared" si="0"/>
        <v>мазок</v>
      </c>
      <c r="H13" s="16">
        <f t="shared" si="1"/>
        <v>44978.005500000021</v>
      </c>
      <c r="I13" s="16">
        <f t="shared" si="2"/>
        <v>44977.304435185208</v>
      </c>
      <c r="J13" t="str">
        <f t="shared" si="3"/>
        <v>Cov-Bat#</v>
      </c>
      <c r="K13" t="str">
        <f t="shared" si="4"/>
        <v/>
      </c>
      <c r="L13" t="str">
        <f t="shared" si="4"/>
        <v/>
      </c>
    </row>
    <row r="14" spans="1:12" x14ac:dyDescent="0.25">
      <c r="B14" t="s">
        <v>175</v>
      </c>
      <c r="G14" t="str">
        <f t="shared" si="0"/>
        <v>мазок</v>
      </c>
      <c r="H14" s="16">
        <f t="shared" si="1"/>
        <v>44978.006000000023</v>
      </c>
      <c r="I14" s="16">
        <f t="shared" si="2"/>
        <v>44977.30493518521</v>
      </c>
      <c r="J14" t="str">
        <f t="shared" si="3"/>
        <v>Cov-Bat#</v>
      </c>
      <c r="K14" t="str">
        <f t="shared" si="4"/>
        <v/>
      </c>
      <c r="L14" t="str">
        <f t="shared" si="4"/>
        <v/>
      </c>
    </row>
    <row r="15" spans="1:12" x14ac:dyDescent="0.25">
      <c r="B15" t="s">
        <v>176</v>
      </c>
      <c r="G15" t="str">
        <f t="shared" si="0"/>
        <v>мазок</v>
      </c>
      <c r="H15" s="16">
        <f t="shared" si="1"/>
        <v>44978.006500000025</v>
      </c>
      <c r="I15" s="16">
        <f t="shared" si="2"/>
        <v>44977.305435185212</v>
      </c>
      <c r="J15" t="str">
        <f t="shared" si="3"/>
        <v>Cov-Bat#</v>
      </c>
      <c r="K15" t="str">
        <f t="shared" si="4"/>
        <v/>
      </c>
      <c r="L15" t="str">
        <f t="shared" si="4"/>
        <v/>
      </c>
    </row>
    <row r="16" spans="1:12" x14ac:dyDescent="0.25">
      <c r="B16" t="s">
        <v>177</v>
      </c>
      <c r="G16" t="str">
        <f t="shared" si="0"/>
        <v>мазок</v>
      </c>
      <c r="H16" s="16">
        <f t="shared" si="1"/>
        <v>44978.007000000027</v>
      </c>
      <c r="I16" s="16">
        <f t="shared" si="2"/>
        <v>44977.305935185213</v>
      </c>
      <c r="J16" t="str">
        <f t="shared" si="3"/>
        <v>Cov-Bat#</v>
      </c>
      <c r="K16" t="str">
        <f t="shared" si="4"/>
        <v/>
      </c>
      <c r="L16" t="str">
        <f t="shared" si="4"/>
        <v/>
      </c>
    </row>
    <row r="17" spans="2:12" x14ac:dyDescent="0.25">
      <c r="B17" t="s">
        <v>178</v>
      </c>
      <c r="G17" t="str">
        <f t="shared" si="0"/>
        <v>мазок</v>
      </c>
      <c r="H17" s="16">
        <f t="shared" si="1"/>
        <v>44978.007500000029</v>
      </c>
      <c r="I17" s="16">
        <f t="shared" si="2"/>
        <v>44977.306435185215</v>
      </c>
      <c r="J17" t="str">
        <f t="shared" si="3"/>
        <v>Cov-Bat#</v>
      </c>
      <c r="K17" t="str">
        <f t="shared" si="4"/>
        <v/>
      </c>
      <c r="L17" t="str">
        <f t="shared" si="4"/>
        <v/>
      </c>
    </row>
    <row r="18" spans="2:12" x14ac:dyDescent="0.25">
      <c r="B18" t="s">
        <v>179</v>
      </c>
      <c r="G18" t="str">
        <f t="shared" si="0"/>
        <v>мазок</v>
      </c>
      <c r="H18" s="16">
        <f t="shared" si="1"/>
        <v>44978.008000000031</v>
      </c>
      <c r="I18" s="16">
        <f t="shared" si="2"/>
        <v>44977.306935185217</v>
      </c>
      <c r="J18" t="str">
        <f t="shared" si="3"/>
        <v>Cov-Bat#</v>
      </c>
      <c r="K18" t="str">
        <f t="shared" si="4"/>
        <v/>
      </c>
      <c r="L18" t="str">
        <f t="shared" si="4"/>
        <v/>
      </c>
    </row>
    <row r="19" spans="2:12" x14ac:dyDescent="0.25">
      <c r="B19" t="s">
        <v>180</v>
      </c>
      <c r="G19" t="str">
        <f t="shared" si="0"/>
        <v>мазок</v>
      </c>
      <c r="H19" s="16">
        <f t="shared" si="1"/>
        <v>44978.008500000033</v>
      </c>
      <c r="I19" s="16">
        <f t="shared" si="2"/>
        <v>44977.307435185219</v>
      </c>
      <c r="J19" t="str">
        <f t="shared" si="3"/>
        <v>Cov-Bat#</v>
      </c>
      <c r="K19" t="str">
        <f t="shared" si="4"/>
        <v/>
      </c>
      <c r="L19" t="str">
        <f t="shared" si="4"/>
        <v/>
      </c>
    </row>
    <row r="20" spans="2:12" x14ac:dyDescent="0.25">
      <c r="B20" t="s">
        <v>181</v>
      </c>
      <c r="G20" t="str">
        <f t="shared" si="0"/>
        <v>мазок</v>
      </c>
      <c r="H20" s="16">
        <f t="shared" si="1"/>
        <v>44978.009000000035</v>
      </c>
      <c r="I20" s="16">
        <f t="shared" si="2"/>
        <v>44977.307935185221</v>
      </c>
      <c r="J20" t="str">
        <f t="shared" si="3"/>
        <v>Cov-Bat#</v>
      </c>
      <c r="K20" t="str">
        <f t="shared" si="4"/>
        <v/>
      </c>
      <c r="L20" t="str">
        <f t="shared" si="4"/>
        <v/>
      </c>
    </row>
    <row r="21" spans="2:12" x14ac:dyDescent="0.25">
      <c r="B21" t="s">
        <v>182</v>
      </c>
      <c r="G21" t="str">
        <f t="shared" si="0"/>
        <v>мазок</v>
      </c>
      <c r="H21" s="16">
        <f t="shared" si="1"/>
        <v>44978.009500000036</v>
      </c>
      <c r="I21" s="16">
        <f t="shared" si="2"/>
        <v>44977.308435185223</v>
      </c>
      <c r="J21" t="str">
        <f t="shared" si="3"/>
        <v>Cov-Bat#</v>
      </c>
      <c r="K21" t="str">
        <f t="shared" si="4"/>
        <v/>
      </c>
      <c r="L21" t="str">
        <f t="shared" si="4"/>
        <v/>
      </c>
    </row>
    <row r="22" spans="2:12" x14ac:dyDescent="0.25">
      <c r="B22" t="s">
        <v>183</v>
      </c>
      <c r="G22" t="str">
        <f t="shared" si="0"/>
        <v>мазок</v>
      </c>
      <c r="H22" s="16">
        <f t="shared" si="1"/>
        <v>44978.010000000038</v>
      </c>
      <c r="I22" s="16">
        <f t="shared" si="2"/>
        <v>44977.308935185225</v>
      </c>
      <c r="J22" t="str">
        <f t="shared" si="3"/>
        <v>Cov-Bat#</v>
      </c>
      <c r="K22" t="str">
        <f t="shared" si="4"/>
        <v/>
      </c>
      <c r="L22" t="str">
        <f t="shared" si="4"/>
        <v/>
      </c>
    </row>
    <row r="23" spans="2:12" x14ac:dyDescent="0.25">
      <c r="B23" t="s">
        <v>184</v>
      </c>
      <c r="G23" t="str">
        <f t="shared" si="0"/>
        <v>мазок</v>
      </c>
      <c r="H23" s="16">
        <f t="shared" si="1"/>
        <v>44978.01050000004</v>
      </c>
      <c r="I23" s="16">
        <f t="shared" si="2"/>
        <v>44977.309435185227</v>
      </c>
      <c r="J23" t="str">
        <f t="shared" si="3"/>
        <v>Cov-Bat#</v>
      </c>
      <c r="K23" t="str">
        <f t="shared" si="4"/>
        <v/>
      </c>
      <c r="L23" t="str">
        <f t="shared" si="4"/>
        <v/>
      </c>
    </row>
    <row r="24" spans="2:12" x14ac:dyDescent="0.25">
      <c r="B24" t="s">
        <v>185</v>
      </c>
      <c r="G24" t="str">
        <f t="shared" si="0"/>
        <v>мазок</v>
      </c>
      <c r="H24" s="16">
        <f t="shared" si="1"/>
        <v>44978.011000000042</v>
      </c>
      <c r="I24" s="16">
        <f t="shared" si="2"/>
        <v>44977.309935185229</v>
      </c>
      <c r="J24" t="str">
        <f t="shared" si="3"/>
        <v>Cov-Bat#</v>
      </c>
      <c r="K24" t="str">
        <f t="shared" si="4"/>
        <v/>
      </c>
      <c r="L24" t="str">
        <f t="shared" si="4"/>
        <v/>
      </c>
    </row>
    <row r="25" spans="2:12" x14ac:dyDescent="0.25">
      <c r="B25" t="s">
        <v>186</v>
      </c>
      <c r="G25" t="str">
        <f t="shared" si="0"/>
        <v>мазок</v>
      </c>
      <c r="H25" s="16">
        <f t="shared" si="1"/>
        <v>44978.011500000044</v>
      </c>
      <c r="I25" s="16">
        <f t="shared" si="2"/>
        <v>44977.310435185231</v>
      </c>
      <c r="J25" t="str">
        <f t="shared" si="3"/>
        <v>Cov-Bat#</v>
      </c>
      <c r="K25" t="str">
        <f t="shared" si="4"/>
        <v/>
      </c>
      <c r="L25" t="str">
        <f t="shared" si="4"/>
        <v/>
      </c>
    </row>
    <row r="26" spans="2:12" x14ac:dyDescent="0.25">
      <c r="B26" t="s">
        <v>187</v>
      </c>
      <c r="G26" t="str">
        <f t="shared" si="0"/>
        <v>мазок</v>
      </c>
      <c r="H26" s="16">
        <f t="shared" si="1"/>
        <v>44978.012000000046</v>
      </c>
      <c r="I26" s="16">
        <f t="shared" si="2"/>
        <v>44977.310935185233</v>
      </c>
      <c r="J26" t="str">
        <f t="shared" si="3"/>
        <v>Cov-Bat#</v>
      </c>
      <c r="K26" t="str">
        <f t="shared" si="4"/>
        <v/>
      </c>
      <c r="L26" t="str">
        <f t="shared" si="4"/>
        <v/>
      </c>
    </row>
    <row r="27" spans="2:12" x14ac:dyDescent="0.25">
      <c r="B27" t="s">
        <v>188</v>
      </c>
      <c r="G27" t="str">
        <f t="shared" si="0"/>
        <v>мазок</v>
      </c>
      <c r="H27" s="16">
        <f t="shared" si="1"/>
        <v>44978.012500000048</v>
      </c>
      <c r="I27" s="16">
        <f t="shared" si="2"/>
        <v>44977.311435185235</v>
      </c>
      <c r="J27" t="str">
        <f t="shared" si="3"/>
        <v>Cov-Bat#</v>
      </c>
      <c r="K27" t="str">
        <f t="shared" si="4"/>
        <v/>
      </c>
      <c r="L27" t="str">
        <f t="shared" si="4"/>
        <v/>
      </c>
    </row>
    <row r="28" spans="2:12" x14ac:dyDescent="0.25">
      <c r="B28" t="s">
        <v>189</v>
      </c>
      <c r="G28" t="str">
        <f t="shared" si="0"/>
        <v>мазок</v>
      </c>
      <c r="H28" s="16">
        <f t="shared" si="1"/>
        <v>44978.01300000005</v>
      </c>
      <c r="I28" s="16">
        <f t="shared" si="2"/>
        <v>44977.311935185237</v>
      </c>
      <c r="J28" t="str">
        <f t="shared" si="3"/>
        <v>Cov-Bat#</v>
      </c>
      <c r="K28" t="str">
        <f t="shared" si="4"/>
        <v/>
      </c>
      <c r="L28" t="str">
        <f t="shared" si="4"/>
        <v/>
      </c>
    </row>
    <row r="29" spans="2:12" x14ac:dyDescent="0.25">
      <c r="B29" t="s">
        <v>190</v>
      </c>
      <c r="G29" t="str">
        <f t="shared" si="0"/>
        <v>мазок</v>
      </c>
      <c r="H29" s="16">
        <f t="shared" si="1"/>
        <v>44978.013500000052</v>
      </c>
      <c r="I29" s="16">
        <f t="shared" si="2"/>
        <v>44977.312435185238</v>
      </c>
      <c r="J29" t="str">
        <f t="shared" si="3"/>
        <v>Cov-Bat#</v>
      </c>
      <c r="K29" t="str">
        <f t="shared" si="4"/>
        <v/>
      </c>
      <c r="L29" t="str">
        <f t="shared" si="4"/>
        <v/>
      </c>
    </row>
    <row r="30" spans="2:12" x14ac:dyDescent="0.25">
      <c r="B30" t="s">
        <v>191</v>
      </c>
      <c r="G30" t="str">
        <f t="shared" si="0"/>
        <v>мазок</v>
      </c>
      <c r="H30" s="16">
        <f t="shared" si="1"/>
        <v>44978.014000000054</v>
      </c>
      <c r="I30" s="16">
        <f t="shared" si="2"/>
        <v>44977.31293518524</v>
      </c>
      <c r="J30" t="str">
        <f t="shared" si="3"/>
        <v>Cov-Bat#</v>
      </c>
      <c r="K30" t="str">
        <f t="shared" si="4"/>
        <v/>
      </c>
      <c r="L30" t="str">
        <f t="shared" si="4"/>
        <v/>
      </c>
    </row>
    <row r="31" spans="2:12" x14ac:dyDescent="0.25">
      <c r="B31" t="s">
        <v>192</v>
      </c>
      <c r="G31" t="str">
        <f t="shared" si="0"/>
        <v>мазок</v>
      </c>
      <c r="H31" s="16">
        <f t="shared" si="1"/>
        <v>44978.014500000056</v>
      </c>
      <c r="I31" s="16">
        <f t="shared" si="2"/>
        <v>44977.313435185242</v>
      </c>
      <c r="J31" t="str">
        <f t="shared" si="3"/>
        <v>Cov-Bat#</v>
      </c>
      <c r="K31" t="str">
        <f t="shared" si="4"/>
        <v/>
      </c>
      <c r="L31" t="str">
        <f t="shared" si="4"/>
        <v/>
      </c>
    </row>
    <row r="32" spans="2:12" x14ac:dyDescent="0.25">
      <c r="B32" t="s">
        <v>193</v>
      </c>
      <c r="G32" t="str">
        <f t="shared" si="0"/>
        <v>мазок</v>
      </c>
      <c r="H32" s="16">
        <f t="shared" si="1"/>
        <v>44978.015000000058</v>
      </c>
      <c r="I32" s="16">
        <f t="shared" si="2"/>
        <v>44977.313935185244</v>
      </c>
      <c r="J32" t="str">
        <f t="shared" si="3"/>
        <v>Cov-Bat#</v>
      </c>
      <c r="K32" t="str">
        <f t="shared" si="4"/>
        <v/>
      </c>
      <c r="L32" t="str">
        <f t="shared" si="4"/>
        <v/>
      </c>
    </row>
    <row r="33" spans="2:12" x14ac:dyDescent="0.25">
      <c r="B33" t="s">
        <v>194</v>
      </c>
      <c r="G33" t="str">
        <f t="shared" si="0"/>
        <v>мазок</v>
      </c>
      <c r="H33" s="16">
        <f t="shared" si="1"/>
        <v>44978.01550000006</v>
      </c>
      <c r="I33" s="16">
        <f t="shared" si="2"/>
        <v>44977.314435185246</v>
      </c>
      <c r="J33" t="str">
        <f t="shared" si="3"/>
        <v>Cov-Bat#</v>
      </c>
      <c r="K33" t="str">
        <f t="shared" si="4"/>
        <v/>
      </c>
      <c r="L33" t="str">
        <f t="shared" si="4"/>
        <v/>
      </c>
    </row>
    <row r="34" spans="2:12" x14ac:dyDescent="0.25">
      <c r="B34" t="s">
        <v>195</v>
      </c>
      <c r="G34" t="str">
        <f t="shared" si="0"/>
        <v>мазок</v>
      </c>
      <c r="H34" s="16">
        <f t="shared" si="1"/>
        <v>44978.016000000061</v>
      </c>
      <c r="I34" s="16">
        <f t="shared" si="2"/>
        <v>44977.314935185248</v>
      </c>
      <c r="J34" t="str">
        <f t="shared" si="3"/>
        <v>Cov-Bat#</v>
      </c>
      <c r="K34" t="str">
        <f t="shared" si="4"/>
        <v/>
      </c>
      <c r="L34" t="str">
        <f t="shared" si="4"/>
        <v/>
      </c>
    </row>
    <row r="35" spans="2:12" x14ac:dyDescent="0.25">
      <c r="B35" t="s">
        <v>196</v>
      </c>
      <c r="G35" t="str">
        <f t="shared" si="0"/>
        <v>мазок</v>
      </c>
      <c r="H35" s="16">
        <f t="shared" si="1"/>
        <v>44978.016500000063</v>
      </c>
      <c r="I35" s="16">
        <f t="shared" si="2"/>
        <v>44977.31543518525</v>
      </c>
      <c r="J35" t="str">
        <f t="shared" si="3"/>
        <v>Cov-Bat#</v>
      </c>
      <c r="K35" t="str">
        <f t="shared" si="4"/>
        <v/>
      </c>
      <c r="L35" t="str">
        <f t="shared" si="4"/>
        <v/>
      </c>
    </row>
    <row r="36" spans="2:12" x14ac:dyDescent="0.25">
      <c r="B36" t="s">
        <v>197</v>
      </c>
      <c r="G36" t="str">
        <f t="shared" si="0"/>
        <v>мазок</v>
      </c>
      <c r="H36" s="16">
        <f t="shared" si="1"/>
        <v>44978.017000000065</v>
      </c>
      <c r="I36" s="16">
        <f t="shared" si="2"/>
        <v>44977.315935185252</v>
      </c>
      <c r="J36" t="str">
        <f t="shared" si="3"/>
        <v>Cov-Bat#</v>
      </c>
      <c r="K36" t="str">
        <f t="shared" si="4"/>
        <v/>
      </c>
      <c r="L36" t="str">
        <f t="shared" si="4"/>
        <v/>
      </c>
    </row>
    <row r="37" spans="2:12" x14ac:dyDescent="0.25">
      <c r="B37" t="s">
        <v>198</v>
      </c>
      <c r="G37" t="str">
        <f t="shared" si="0"/>
        <v>мазок</v>
      </c>
      <c r="H37" s="16">
        <f t="shared" si="1"/>
        <v>44978.017500000067</v>
      </c>
      <c r="I37" s="16">
        <f t="shared" si="2"/>
        <v>44977.316435185254</v>
      </c>
      <c r="J37" t="str">
        <f t="shared" si="3"/>
        <v>Cov-Bat#</v>
      </c>
      <c r="K37" t="str">
        <f t="shared" si="4"/>
        <v/>
      </c>
      <c r="L37" t="str">
        <f t="shared" si="4"/>
        <v/>
      </c>
    </row>
    <row r="38" spans="2:12" x14ac:dyDescent="0.25">
      <c r="B38" t="s">
        <v>199</v>
      </c>
      <c r="G38" t="str">
        <f t="shared" si="0"/>
        <v>мазок</v>
      </c>
      <c r="H38" s="16">
        <f t="shared" si="1"/>
        <v>44978.018000000069</v>
      </c>
      <c r="I38" s="16">
        <f t="shared" si="2"/>
        <v>44977.316935185256</v>
      </c>
      <c r="J38" t="str">
        <f t="shared" si="3"/>
        <v>Cov-Bat#</v>
      </c>
      <c r="K38" t="str">
        <f t="shared" si="4"/>
        <v/>
      </c>
      <c r="L38" t="str">
        <f t="shared" si="4"/>
        <v/>
      </c>
    </row>
    <row r="39" spans="2:12" x14ac:dyDescent="0.25">
      <c r="B39" t="s">
        <v>200</v>
      </c>
      <c r="G39" t="str">
        <f t="shared" si="0"/>
        <v>мазок</v>
      </c>
      <c r="H39" s="16">
        <f t="shared" si="1"/>
        <v>44978.018500000071</v>
      </c>
      <c r="I39" s="16">
        <f t="shared" si="2"/>
        <v>44977.317435185258</v>
      </c>
      <c r="J39" t="str">
        <f t="shared" si="3"/>
        <v>Cov-Bat#</v>
      </c>
      <c r="K39" t="str">
        <f t="shared" si="4"/>
        <v/>
      </c>
      <c r="L39" t="str">
        <f t="shared" si="4"/>
        <v/>
      </c>
    </row>
    <row r="40" spans="2:12" x14ac:dyDescent="0.25">
      <c r="B40" t="s">
        <v>201</v>
      </c>
      <c r="G40" t="str">
        <f t="shared" si="0"/>
        <v>мазок</v>
      </c>
      <c r="H40" s="16">
        <f t="shared" si="1"/>
        <v>44978.019000000073</v>
      </c>
      <c r="I40" s="16">
        <f t="shared" si="2"/>
        <v>44977.31793518526</v>
      </c>
      <c r="J40" t="str">
        <f t="shared" si="3"/>
        <v>Cov-Bat#</v>
      </c>
      <c r="K40" t="str">
        <f t="shared" si="4"/>
        <v/>
      </c>
      <c r="L40" t="str">
        <f t="shared" si="4"/>
        <v/>
      </c>
    </row>
    <row r="41" spans="2:12" x14ac:dyDescent="0.25">
      <c r="B41" t="s">
        <v>202</v>
      </c>
      <c r="G41" t="str">
        <f t="shared" si="0"/>
        <v>мазок</v>
      </c>
      <c r="H41" s="16">
        <f t="shared" si="1"/>
        <v>44978.019500000075</v>
      </c>
      <c r="I41" s="16">
        <f t="shared" si="2"/>
        <v>44977.318435185261</v>
      </c>
      <c r="J41" t="str">
        <f t="shared" si="3"/>
        <v>Cov-Bat#</v>
      </c>
      <c r="K41" t="str">
        <f t="shared" si="4"/>
        <v/>
      </c>
      <c r="L41" t="str">
        <f t="shared" si="4"/>
        <v/>
      </c>
    </row>
    <row r="42" spans="2:12" x14ac:dyDescent="0.25">
      <c r="B42" t="s">
        <v>203</v>
      </c>
      <c r="G42" t="str">
        <f t="shared" si="0"/>
        <v>мазок</v>
      </c>
      <c r="H42" s="16">
        <f t="shared" si="1"/>
        <v>44978.020000000077</v>
      </c>
      <c r="I42" s="16">
        <f t="shared" si="2"/>
        <v>44977.318935185263</v>
      </c>
      <c r="J42" t="str">
        <f t="shared" si="3"/>
        <v>Cov-Bat#</v>
      </c>
      <c r="K42" t="str">
        <f t="shared" si="4"/>
        <v/>
      </c>
      <c r="L42" t="str">
        <f t="shared" si="4"/>
        <v/>
      </c>
    </row>
    <row r="43" spans="2:12" x14ac:dyDescent="0.25">
      <c r="B43" t="s">
        <v>204</v>
      </c>
      <c r="G43" t="str">
        <f t="shared" si="0"/>
        <v>мазок</v>
      </c>
      <c r="H43" s="16">
        <f t="shared" si="1"/>
        <v>44978.020500000079</v>
      </c>
      <c r="I43" s="16">
        <f t="shared" si="2"/>
        <v>44977.319435185265</v>
      </c>
      <c r="J43" t="str">
        <f t="shared" si="3"/>
        <v>Cov-Bat#</v>
      </c>
      <c r="K43" t="str">
        <f t="shared" si="4"/>
        <v/>
      </c>
      <c r="L43" t="str">
        <f t="shared" si="4"/>
        <v/>
      </c>
    </row>
    <row r="44" spans="2:12" x14ac:dyDescent="0.25">
      <c r="B44" t="s">
        <v>205</v>
      </c>
      <c r="G44" t="str">
        <f t="shared" si="0"/>
        <v>мазок</v>
      </c>
      <c r="H44" s="16">
        <f t="shared" si="1"/>
        <v>44978.021000000081</v>
      </c>
      <c r="I44" s="16">
        <f t="shared" si="2"/>
        <v>44977.319935185267</v>
      </c>
      <c r="J44" t="str">
        <f t="shared" si="3"/>
        <v>Cov-Bat#</v>
      </c>
      <c r="K44" t="str">
        <f t="shared" si="4"/>
        <v/>
      </c>
      <c r="L44" t="str">
        <f t="shared" si="4"/>
        <v/>
      </c>
    </row>
    <row r="45" spans="2:12" x14ac:dyDescent="0.25">
      <c r="B45" t="s">
        <v>206</v>
      </c>
      <c r="G45" t="str">
        <f t="shared" si="0"/>
        <v>мазок</v>
      </c>
      <c r="H45" s="16">
        <f t="shared" si="1"/>
        <v>44978.021500000083</v>
      </c>
      <c r="I45" s="16">
        <f t="shared" si="2"/>
        <v>44977.320435185269</v>
      </c>
      <c r="J45" t="str">
        <f t="shared" si="3"/>
        <v>Cov-Bat#</v>
      </c>
      <c r="K45" t="str">
        <f t="shared" si="4"/>
        <v/>
      </c>
      <c r="L45" t="str">
        <f t="shared" si="4"/>
        <v/>
      </c>
    </row>
    <row r="46" spans="2:12" x14ac:dyDescent="0.25">
      <c r="B46" t="s">
        <v>207</v>
      </c>
      <c r="G46" t="str">
        <f t="shared" si="0"/>
        <v>мазок</v>
      </c>
      <c r="H46" s="16">
        <f t="shared" si="1"/>
        <v>44978.022000000085</v>
      </c>
      <c r="I46" s="16">
        <f t="shared" si="2"/>
        <v>44977.320935185271</v>
      </c>
      <c r="J46" t="str">
        <f t="shared" si="3"/>
        <v>Cov-Bat#</v>
      </c>
      <c r="K46" t="str">
        <f t="shared" si="4"/>
        <v/>
      </c>
      <c r="L46" t="str">
        <f t="shared" si="4"/>
        <v/>
      </c>
    </row>
    <row r="47" spans="2:12" x14ac:dyDescent="0.25">
      <c r="B47" t="s">
        <v>208</v>
      </c>
      <c r="G47" t="str">
        <f t="shared" si="0"/>
        <v>мазок</v>
      </c>
      <c r="H47" s="16">
        <f t="shared" si="1"/>
        <v>44978.022500000086</v>
      </c>
      <c r="I47" s="16">
        <f t="shared" si="2"/>
        <v>44977.321435185273</v>
      </c>
      <c r="J47" t="str">
        <f t="shared" si="3"/>
        <v>Cov-Bat#</v>
      </c>
      <c r="K47" t="str">
        <f t="shared" si="4"/>
        <v/>
      </c>
      <c r="L47" t="str">
        <f t="shared" si="4"/>
        <v/>
      </c>
    </row>
    <row r="48" spans="2:12" x14ac:dyDescent="0.25">
      <c r="B48" t="s">
        <v>209</v>
      </c>
      <c r="G48" t="str">
        <f t="shared" si="0"/>
        <v>мазок</v>
      </c>
      <c r="H48" s="16">
        <f t="shared" si="1"/>
        <v>44978.023000000088</v>
      </c>
      <c r="I48" s="16">
        <f t="shared" si="2"/>
        <v>44977.321935185275</v>
      </c>
      <c r="J48" t="str">
        <f t="shared" si="3"/>
        <v>Cov-Bat#</v>
      </c>
      <c r="K48" t="str">
        <f t="shared" si="4"/>
        <v/>
      </c>
      <c r="L48" t="str">
        <f t="shared" si="4"/>
        <v/>
      </c>
    </row>
    <row r="49" spans="2:12" x14ac:dyDescent="0.25">
      <c r="B49" t="s">
        <v>202</v>
      </c>
      <c r="G49" t="str">
        <f t="shared" si="0"/>
        <v>мазок</v>
      </c>
      <c r="H49" s="16">
        <f t="shared" si="1"/>
        <v>44978.02350000009</v>
      </c>
      <c r="I49" s="16">
        <f t="shared" si="2"/>
        <v>44977.322435185277</v>
      </c>
      <c r="J49" t="str">
        <f t="shared" si="3"/>
        <v>Cov-Bat#</v>
      </c>
      <c r="K49" t="str">
        <f t="shared" si="4"/>
        <v/>
      </c>
      <c r="L49" t="str">
        <f t="shared" si="4"/>
        <v/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</vt:i4>
      </vt:variant>
    </vt:vector>
  </HeadingPairs>
  <TitlesOfParts>
    <vt:vector size="7" baseType="lpstr">
      <vt:lpstr>ID</vt:lpstr>
      <vt:lpstr>Data</vt:lpstr>
      <vt:lpstr>Plashka</vt:lpstr>
      <vt:lpstr>CFX</vt:lpstr>
      <vt:lpstr>ABI</vt:lpstr>
      <vt:lpstr>FRT</vt:lpstr>
      <vt:lpstr>Plashka!Область_печати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</dc:creator>
  <cp:lastModifiedBy>Anna Klimova</cp:lastModifiedBy>
  <cp:lastPrinted>2024-01-15T05:18:42Z</cp:lastPrinted>
  <dcterms:created xsi:type="dcterms:W3CDTF">2023-02-13T16:52:15Z</dcterms:created>
  <dcterms:modified xsi:type="dcterms:W3CDTF">2024-01-15T05:19:53Z</dcterms:modified>
</cp:coreProperties>
</file>