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"/>
    </mc:Choice>
  </mc:AlternateContent>
  <bookViews>
    <workbookView xWindow="600" yWindow="375" windowWidth="17955" windowHeight="6450" activeTab="3"/>
  </bookViews>
  <sheets>
    <sheet name="S" sheetId="1" r:id="rId1"/>
    <sheet name="Лист2" sheetId="2" r:id="rId2"/>
    <sheet name="Отчет" sheetId="3" r:id="rId3"/>
    <sheet name="Отчет0" sheetId="4" r:id="rId4"/>
    <sheet name="Список0" sheetId="5" r:id="rId5"/>
  </sheets>
  <externalReferences>
    <externalReference r:id="rId6"/>
  </externalReferences>
  <definedNames>
    <definedName name="ExternalData_1" localSheetId="1" hidden="1">Лист2!$A$1:$D$21</definedName>
    <definedName name="_xlnm.Print_Area" localSheetId="2">Отчет!$A$1:$G$40</definedName>
    <definedName name="_xlnm.Print_Area" localSheetId="3">Отчет0!$A$1:$G$37</definedName>
  </definedNames>
  <calcPr calcId="152511"/>
</workbook>
</file>

<file path=xl/calcChain.xml><?xml version="1.0" encoding="utf-8"?>
<calcChain xmlns="http://schemas.openxmlformats.org/spreadsheetml/2006/main">
  <c r="K4" i="5" l="1"/>
  <c r="B4" i="5" s="1"/>
  <c r="F4" i="5"/>
  <c r="E4" i="5"/>
  <c r="D4" i="5"/>
  <c r="C4" i="5"/>
  <c r="K3" i="5"/>
  <c r="F3" i="5"/>
  <c r="E3" i="5"/>
  <c r="D3" i="5"/>
  <c r="C3" i="5"/>
  <c r="B3" i="5"/>
  <c r="K2" i="5" l="1"/>
  <c r="B2" i="5" s="1"/>
  <c r="F2" i="5"/>
  <c r="E2" i="5"/>
  <c r="C2" i="5"/>
  <c r="D2" i="5"/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4" background="1" saveData="1">
    <dbPr connection="provider=Microsoft.Mashup.OleDb.1;data source=$EmbeddedMashup(ad49537b-3573-4c06-97e4-1a1020b2b9d2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<sst xmlns="http://schemas.openxmlformats.org/spreadsheetml/2006/main" count="282" uniqueCount="125">
  <si>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</si>
  <si>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</si>
  <si>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</si>
  <si>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</si>
  <si>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</si>
  <si>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</si>
  <si>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</si>
  <si>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</si>
  <si>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</si>
  <si>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</si>
  <si>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</si>
  <si>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</si>
  <si>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</si>
  <si>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</si>
  <si>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</si>
  <si>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</si>
  <si>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</si>
  <si>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</si>
  <si>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</si>
  <si>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</si>
  <si>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</si>
  <si>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</si>
  <si>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</si>
  <si>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</si>
  <si>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</si>
  <si>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</si>
  <si>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</si>
  <si>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</si>
  <si>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</si>
  <si>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</si>
  <si>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</si>
  <si>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</si>
  <si>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</si>
  <si>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</si>
  <si>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</si>
  <si>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</si>
  <si>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</si>
  <si>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</si>
  <si>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</si>
  <si>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</si>
  <si>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</si>
  <si>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</si>
  <si>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</si>
  <si>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</si>
  <si>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</si>
  <si>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</si>
  <si>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</si>
  <si>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</si>
  <si>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</si>
  <si>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</si>
  <si>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</si>
  <si>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</si>
  <si>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</si>
  <si>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</si>
  <si>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</si>
  <si>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</si>
  <si>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</si>
  <si>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</si>
  <si>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</si>
  <si>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</si>
  <si>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</si>
  <si>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</si>
  <si>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№02/1002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</si>
  <si>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</si>
  <si>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</si>
  <si>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</si>
  <si>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</si>
  <si>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</si>
  <si>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</si>
  <si>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Наименование организации: ЕНИИВИ ФБУН ГНЦ ВБ «Вектор»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</si>
  <si>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</si>
  <si>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</si>
  <si>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</si>
  <si>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</si>
  <si>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</si>
  <si>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</si>
  <si>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</si>
  <si>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</si>
  <si>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</si>
  <si>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</si>
  <si>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Четверкина Наталья Евгеньевна</t>
  </si>
  <si>
    <t>Параметр</t>
  </si>
  <si>
    <t>Значение</t>
  </si>
  <si>
    <t>Дата взятия материала:</t>
  </si>
  <si>
    <t>ID пациента:</t>
  </si>
  <si>
    <t>Пол</t>
  </si>
  <si>
    <t>женский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</si>
  <si>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</si>
  <si>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</si>
  <si>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</si>
  <si>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</si>
  <si>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</si>
  <si>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 xml:space="preserve"> </t>
  </si>
  <si>
    <t>Y:\Sequence\2022\ГБУЗ ТО ЦПБС\02_1002\02.json</t>
  </si>
  <si>
    <t>Не определён</t>
  </si>
  <si>
    <t>Не валидный</t>
  </si>
  <si>
    <t>РЕЗУЛЬТАТЫ АНАЛИЗА</t>
  </si>
  <si>
    <t>Примечание: при двукратной постановке на этапе детекции концентрации очищенных ПЦР-продуктов в агарозном геле ампликоны отсутствуют, проба не содержит достаточного количества и/или надлежащего качества РНК ВИЧ</t>
  </si>
  <si>
    <t>ID</t>
  </si>
  <si>
    <t>Дата забора</t>
  </si>
  <si>
    <t>ID пациента</t>
  </si>
  <si>
    <t>Дата рождения</t>
  </si>
  <si>
    <t>Направившая организация</t>
  </si>
  <si>
    <t>Вид материала</t>
  </si>
  <si>
    <t>ID пробы</t>
  </si>
  <si>
    <t>Поле</t>
  </si>
  <si>
    <t>Строка</t>
  </si>
  <si>
    <t>Столбец</t>
  </si>
  <si>
    <t xml:space="preserve">Дата взятия материала: </t>
  </si>
  <si>
    <t>№</t>
  </si>
  <si>
    <t xml:space="preserve">ID пациента: </t>
  </si>
  <si>
    <t xml:space="preserve">Дата рождения: </t>
  </si>
  <si>
    <t xml:space="preserve">Пол: </t>
  </si>
  <si>
    <t xml:space="preserve">Дата: </t>
  </si>
  <si>
    <t xml:space="preserve">ФИО врача: </t>
  </si>
  <si>
    <t xml:space="preserve">Вид материала: </t>
  </si>
  <si>
    <t>Дата взятия материала: 25.10.2022</t>
  </si>
  <si>
    <t>Дата: 11.11.2022</t>
  </si>
  <si>
    <t>ФИО врача: Четверкина Наталья Евгеньевна</t>
  </si>
  <si>
    <t>Направившая организация:ГБУЗ ТО «ЦПБС»</t>
  </si>
  <si>
    <t>Пол: мужской</t>
  </si>
  <si>
    <t>№57/1054</t>
  </si>
  <si>
    <t>ID пациента: 13899</t>
  </si>
  <si>
    <t>Дата рождения: 29.09.1986</t>
  </si>
  <si>
    <t>Тест-система: "АмплиСенс HIV-Resist-Seq" (серия 17.08.2022)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</si>
</sst>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Century Gothic"/>
      <family val="2"/>
      <charset val="204"/>
    </font>
    <font>
      <b/>
      <sz val="1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0" xfId="0" quotePrefix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1" fillId="0" borderId="2" xfId="0" applyFont="1" applyFill="1" applyBorder="1" applyAlignment="1">
      <alignment horizontal="left" vertical="center" wrapText="1"/>
    </xf>
    <xf numFmtId="0" fontId="12" fillId="0" borderId="0" xfId="0" applyFont="1" applyAlignment="1">
      <alignment horizontal="center"/>
    </xf>
  </cellXfs>
  <cellStyles count="1">
    <cellStyle name="Обычный" xfId="0" builtinId="0"/>
  </cellStyles>
  <dxfs count="21"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20"/>
      <tableStyleElement type="headerRow" dxfId="19"/>
      <tableStyleElement type="firstRowStripe" dxfId="18"/>
    </tableStyle>
    <tableStyle name="TableStyleQueryResult" pivot="0" count="3">
      <tableStyleElement type="wholeTable" dxfId="17"/>
      <tableStyleElement type="headerRow" dxfId="16"/>
      <tableStyleElement type="first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14568</xdr:colOff>
      <xdr:row>39</xdr:row>
      <xdr:rowOff>47232</xdr:rowOff>
    </xdr:from>
    <xdr:to>
      <xdr:col>6</xdr:col>
      <xdr:colOff>1130043</xdr:colOff>
      <xdr:row>39</xdr:row>
      <xdr:rowOff>259310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68" y="10753332"/>
          <a:ext cx="6840000" cy="2120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190500</xdr:colOff>
      <xdr:row>0</xdr:row>
      <xdr:rowOff>438150</xdr:rowOff>
    </xdr:from>
    <xdr:to>
      <xdr:col>12</xdr:col>
      <xdr:colOff>187452</xdr:colOff>
      <xdr:row>0</xdr:row>
      <xdr:rowOff>1050798</xdr:rowOff>
    </xdr:to>
    <xdr:sp macro="[0]!Blank0" textlink="">
      <xdr:nvSpPr>
        <xdr:cNvPr id="4" name="Лента лицом вверх 3"/>
        <xdr:cNvSpPr/>
      </xdr:nvSpPr>
      <xdr:spPr>
        <a:xfrm>
          <a:off x="8896350" y="438150"/>
          <a:ext cx="1216152" cy="612648"/>
        </a:xfrm>
        <a:prstGeom prst="ribbon2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 editAs="oneCell">
    <xdr:from>
      <xdr:col>0</xdr:col>
      <xdr:colOff>390525</xdr:colOff>
      <xdr:row>0</xdr:row>
      <xdr:rowOff>47627</xdr:rowOff>
    </xdr:from>
    <xdr:to>
      <xdr:col>0</xdr:col>
      <xdr:colOff>1838325</xdr:colOff>
      <xdr:row>0</xdr:row>
      <xdr:rowOff>238125</xdr:rowOff>
    </xdr:to>
    <xdr:pic>
      <xdr:nvPicPr>
        <xdr:cNvPr id="8" name="Рисунок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51" r="74870" b="88036"/>
        <a:stretch/>
      </xdr:blipFill>
      <xdr:spPr bwMode="auto">
        <a:xfrm>
          <a:off x="390525" y="47627"/>
          <a:ext cx="1447800" cy="190498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0</xdr:col>
      <xdr:colOff>0</xdr:colOff>
      <xdr:row>0</xdr:row>
      <xdr:rowOff>85091</xdr:rowOff>
    </xdr:from>
    <xdr:to>
      <xdr:col>6</xdr:col>
      <xdr:colOff>1143000</xdr:colOff>
      <xdr:row>5</xdr:row>
      <xdr:rowOff>94455</xdr:rowOff>
    </xdr:to>
    <xdr:grpSp>
      <xdr:nvGrpSpPr>
        <xdr:cNvPr id="5" name="Группа 4"/>
        <xdr:cNvGrpSpPr/>
      </xdr:nvGrpSpPr>
      <xdr:grpSpPr>
        <a:xfrm>
          <a:off x="0" y="85091"/>
          <a:ext cx="6867525" cy="2552539"/>
          <a:chOff x="0" y="-48260"/>
          <a:chExt cx="6867525" cy="2552539"/>
        </a:xfrm>
      </xdr:grpSpPr>
      <xdr:pic>
        <xdr:nvPicPr>
          <xdr:cNvPr id="6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52015" y="0"/>
            <a:ext cx="356235" cy="18478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9" name="Rectangle 7"/>
          <xdr:cNvSpPr>
            <a:spLocks noChangeArrowheads="1"/>
          </xdr:cNvSpPr>
        </xdr:nvSpPr>
        <xdr:spPr bwMode="auto">
          <a:xfrm>
            <a:off x="1884680" y="-48260"/>
            <a:ext cx="4268470" cy="1758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100" b="1">
                <a:solidFill>
                  <a:srgbClr val="943634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ФБУН ФНИИВИ «ВИРОМ» РОСПОТРЕБНАДЗОРА</a:t>
            </a:r>
            <a:endParaRPr lang="ru-RU" sz="14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" name="Rectangle 8"/>
          <xdr:cNvSpPr>
            <a:spLocks noChangeArrowheads="1"/>
          </xdr:cNvSpPr>
        </xdr:nvSpPr>
        <xdr:spPr bwMode="auto">
          <a:xfrm>
            <a:off x="6179820" y="889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943634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1" name="Rectangle 9"/>
          <xdr:cNvSpPr>
            <a:spLocks noChangeArrowheads="1"/>
          </xdr:cNvSpPr>
        </xdr:nvSpPr>
        <xdr:spPr bwMode="auto">
          <a:xfrm>
            <a:off x="1064894" y="124460"/>
            <a:ext cx="4954905" cy="2379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-RU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Федеральный</a:t>
            </a:r>
            <a:r>
              <a:rPr lang="en-US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научно</a:t>
            </a:r>
            <a:r>
              <a:rPr lang="ru-RU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исследовательский институт вирусных инфекций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/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Федерального бюджетного учреждения науки  «Виром» Федеральной службы</a:t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по надзору в сфере защиты прав потребителей и благополучия человека</a:t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(ФБУН ФНИИВИ «Виром» Роспотребнадзора)</a:t>
            </a: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4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4" name="Rectangle 12"/>
          <xdr:cNvSpPr>
            <a:spLocks noChangeArrowheads="1"/>
          </xdr:cNvSpPr>
        </xdr:nvSpPr>
        <xdr:spPr bwMode="auto">
          <a:xfrm>
            <a:off x="6414770" y="15303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6" name="Rectangle 14"/>
          <xdr:cNvSpPr>
            <a:spLocks noChangeArrowheads="1"/>
          </xdr:cNvSpPr>
        </xdr:nvSpPr>
        <xdr:spPr bwMode="auto">
          <a:xfrm>
            <a:off x="6346825" y="29781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8" name="Rectangle 16"/>
          <xdr:cNvSpPr>
            <a:spLocks noChangeArrowheads="1"/>
          </xdr:cNvSpPr>
        </xdr:nvSpPr>
        <xdr:spPr bwMode="auto">
          <a:xfrm>
            <a:off x="6486525" y="44259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0" name="Rectangle 20"/>
          <xdr:cNvSpPr>
            <a:spLocks noChangeArrowheads="1"/>
          </xdr:cNvSpPr>
        </xdr:nvSpPr>
        <xdr:spPr bwMode="auto">
          <a:xfrm>
            <a:off x="5962015" y="58674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2" name="Rectangle 22"/>
          <xdr:cNvSpPr>
            <a:spLocks noChangeArrowheads="1"/>
          </xdr:cNvSpPr>
        </xdr:nvSpPr>
        <xdr:spPr bwMode="auto">
          <a:xfrm>
            <a:off x="5801995" y="73152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3" name="Rectangle 23"/>
          <xdr:cNvSpPr>
            <a:spLocks noChangeArrowheads="1"/>
          </xdr:cNvSpPr>
        </xdr:nvSpPr>
        <xdr:spPr bwMode="auto">
          <a:xfrm>
            <a:off x="2054860" y="885825"/>
            <a:ext cx="4098290" cy="9443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Адрес: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620030, Свердловская область,</a:t>
            </a:r>
            <a:r>
              <a:rPr kumimoji="0" lang="ru-RU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г. Екатеринбург</a:t>
            </a:r>
            <a:r>
              <a:rPr kumimoji="0" lang="ru-RU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,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ул. Летняя, 23,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7" name="Rectangle 27"/>
          <xdr:cNvSpPr>
            <a:spLocks noChangeArrowheads="1"/>
          </xdr:cNvSpPr>
        </xdr:nvSpPr>
        <xdr:spPr bwMode="auto">
          <a:xfrm>
            <a:off x="5106670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9" name="Rectangle 29"/>
          <xdr:cNvSpPr>
            <a:spLocks noChangeArrowheads="1"/>
          </xdr:cNvSpPr>
        </xdr:nvSpPr>
        <xdr:spPr bwMode="auto">
          <a:xfrm>
            <a:off x="5791835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0" name="Rectangle 30"/>
          <xdr:cNvSpPr>
            <a:spLocks noChangeArrowheads="1"/>
          </xdr:cNvSpPr>
        </xdr:nvSpPr>
        <xdr:spPr bwMode="auto">
          <a:xfrm>
            <a:off x="5818505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1" name="Rectangle 31"/>
          <xdr:cNvSpPr>
            <a:spLocks noChangeArrowheads="1"/>
          </xdr:cNvSpPr>
        </xdr:nvSpPr>
        <xdr:spPr bwMode="auto">
          <a:xfrm>
            <a:off x="1967229" y="987425"/>
            <a:ext cx="1718945" cy="1340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тел./факс: (343) 261-99-47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2" name="Rectangle 32"/>
          <xdr:cNvSpPr>
            <a:spLocks noChangeArrowheads="1"/>
          </xdr:cNvSpPr>
        </xdr:nvSpPr>
        <xdr:spPr bwMode="auto">
          <a:xfrm>
            <a:off x="3093720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5" name="Rectangle 35"/>
          <xdr:cNvSpPr>
            <a:spLocks noChangeArrowheads="1"/>
          </xdr:cNvSpPr>
        </xdr:nvSpPr>
        <xdr:spPr bwMode="auto">
          <a:xfrm>
            <a:off x="3533140" y="996950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7" name="Rectangle 37"/>
          <xdr:cNvSpPr>
            <a:spLocks noChangeArrowheads="1"/>
          </xdr:cNvSpPr>
        </xdr:nvSpPr>
        <xdr:spPr bwMode="auto">
          <a:xfrm>
            <a:off x="2758440" y="1006475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9" name="Rectangle 39"/>
          <xdr:cNvSpPr>
            <a:spLocks noChangeArrowheads="1"/>
          </xdr:cNvSpPr>
        </xdr:nvSpPr>
        <xdr:spPr bwMode="auto">
          <a:xfrm>
            <a:off x="3812540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1" name="Rectangle 41"/>
          <xdr:cNvSpPr>
            <a:spLocks noChangeArrowheads="1"/>
          </xdr:cNvSpPr>
        </xdr:nvSpPr>
        <xdr:spPr bwMode="auto">
          <a:xfrm>
            <a:off x="3903345" y="996950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2" name="Rectangle 42"/>
          <xdr:cNvSpPr>
            <a:spLocks noChangeArrowheads="1"/>
          </xdr:cNvSpPr>
        </xdr:nvSpPr>
        <xdr:spPr bwMode="auto">
          <a:xfrm>
            <a:off x="3164205" y="987425"/>
            <a:ext cx="1331595" cy="1281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E-mail</a:t>
            </a: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: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info@niivirom.ru</a:t>
            </a:r>
            <a:r>
              <a:rPr lang="ru-RU" sz="800" baseline="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5" name="Rectangle 45"/>
          <xdr:cNvSpPr>
            <a:spLocks noChangeArrowheads="1"/>
          </xdr:cNvSpPr>
        </xdr:nvSpPr>
        <xdr:spPr bwMode="auto">
          <a:xfrm>
            <a:off x="4304844" y="996950"/>
            <a:ext cx="1162505" cy="3706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Сайт:</a:t>
            </a: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http://eniivi.ru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7" name="Rectangle 47"/>
          <xdr:cNvSpPr>
            <a:spLocks noChangeArrowheads="1"/>
          </xdr:cNvSpPr>
        </xdr:nvSpPr>
        <xdr:spPr bwMode="auto">
          <a:xfrm>
            <a:off x="5766435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8" name="Rectangle 48"/>
          <xdr:cNvSpPr>
            <a:spLocks noChangeArrowheads="1"/>
          </xdr:cNvSpPr>
        </xdr:nvSpPr>
        <xdr:spPr bwMode="auto">
          <a:xfrm>
            <a:off x="4177665" y="1100455"/>
            <a:ext cx="658495" cy="5080"/>
          </a:xfrm>
          <a:prstGeom prst="rect">
            <a:avLst/>
          </a:prstGeom>
          <a:solidFill>
            <a:srgbClr val="0000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ru-RU"/>
          </a:p>
        </xdr:txBody>
      </xdr:sp>
      <xdr:sp macro="" textlink="">
        <xdr:nvSpPr>
          <xdr:cNvPr id="49" name="Rectangle 49"/>
          <xdr:cNvSpPr>
            <a:spLocks noChangeArrowheads="1"/>
          </xdr:cNvSpPr>
        </xdr:nvSpPr>
        <xdr:spPr bwMode="auto">
          <a:xfrm>
            <a:off x="5163820" y="1100455"/>
            <a:ext cx="602615" cy="5080"/>
          </a:xfrm>
          <a:prstGeom prst="rect">
            <a:avLst/>
          </a:prstGeom>
          <a:solidFill>
            <a:srgbClr val="0000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ru-RU"/>
          </a:p>
        </xdr:txBody>
      </xdr:sp>
      <xdr:sp macro="" textlink="">
        <xdr:nvSpPr>
          <xdr:cNvPr id="50" name="Rectangle 50"/>
          <xdr:cNvSpPr>
            <a:spLocks noChangeArrowheads="1"/>
          </xdr:cNvSpPr>
        </xdr:nvSpPr>
        <xdr:spPr bwMode="auto">
          <a:xfrm>
            <a:off x="1930400" y="1125855"/>
            <a:ext cx="3270885" cy="2279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ОКПО 43401152  ОГРН 1235400010757  ИНН 6685209178  КПП 668501001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1" name="Rectangle 51"/>
          <xdr:cNvSpPr>
            <a:spLocks noChangeArrowheads="1"/>
          </xdr:cNvSpPr>
        </xdr:nvSpPr>
        <xdr:spPr bwMode="auto">
          <a:xfrm>
            <a:off x="5898515" y="111633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2" name="Rectangle 52"/>
          <xdr:cNvSpPr>
            <a:spLocks noChangeArrowheads="1"/>
          </xdr:cNvSpPr>
        </xdr:nvSpPr>
        <xdr:spPr bwMode="auto">
          <a:xfrm>
            <a:off x="0" y="1313179"/>
            <a:ext cx="6867525" cy="45719"/>
          </a:xfrm>
          <a:prstGeom prst="rect">
            <a:avLst/>
          </a:prstGeom>
          <a:solidFill>
            <a:srgbClr val="94363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ru-RU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102;&#1084;&#1077;&#1085;&#1100;%20&#1085;&#1072;&#1087;&#1088;&#1072;&#1074;&#1083;&#1077;&#1085;&#1080;&#1103;%20&#1085;&#1072;%20&#1088;&#1077;&#1079;&#1080;&#1089;&#1090;&#1077;&#1085;&#1090;&#1085;&#1086;&#1089;&#1090;&#1100;%202211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Отчёт"/>
      <sheetName val="Шаблон"/>
      <sheetName val="ВН"/>
      <sheetName val="Инструкция"/>
      <sheetName val="Код инфицирования"/>
      <sheetName val="Код обследования"/>
      <sheetName val="Город Регион Округ"/>
      <sheetName val="АРВП"/>
      <sheetName val="АРВП+"/>
      <sheetName val="Перечни"/>
    </sheetNames>
    <sheetDataSet>
      <sheetData sheetId="0"/>
      <sheetData sheetId="1"/>
      <sheetData sheetId="2">
        <row r="4">
          <cell r="A4">
            <v>1</v>
          </cell>
          <cell r="B4" t="str">
            <v>Вирусологическая неэффективность АРВТ</v>
          </cell>
          <cell r="C4">
            <v>12898</v>
          </cell>
          <cell r="D4">
            <v>44763</v>
          </cell>
          <cell r="E4" t="str">
            <v>плазма</v>
          </cell>
          <cell r="F4" t="str">
            <v>женский</v>
          </cell>
          <cell r="G4">
            <v>40308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 t="str">
            <v>да</v>
          </cell>
          <cell r="Q4">
            <v>0</v>
          </cell>
          <cell r="R4" t="str">
            <v>Тюмень</v>
          </cell>
          <cell r="S4" t="str">
            <v>Тюменская область</v>
          </cell>
          <cell r="T4" t="str">
            <v>Уральский</v>
          </cell>
          <cell r="U4" t="str">
            <v>Россия</v>
          </cell>
          <cell r="V4" t="str">
            <v>Тюменская область</v>
          </cell>
          <cell r="W4" t="str">
            <v>Россия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44735</v>
          </cell>
          <cell r="AE4">
            <v>14800</v>
          </cell>
          <cell r="AF4">
            <v>44764</v>
          </cell>
          <cell r="AG4">
            <v>3170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44862</v>
          </cell>
          <cell r="BQ4">
            <v>9762</v>
          </cell>
          <cell r="BR4" t="str">
            <v/>
          </cell>
          <cell r="BS4" t="str">
            <v/>
          </cell>
          <cell r="BT4">
            <v>44865</v>
          </cell>
          <cell r="BU4">
            <v>44872</v>
          </cell>
          <cell r="BV4">
            <v>700</v>
          </cell>
          <cell r="BW4">
            <v>700</v>
          </cell>
          <cell r="BX4">
            <v>44876</v>
          </cell>
          <cell r="BY4">
            <v>44876</v>
          </cell>
          <cell r="BZ4">
            <v>1000</v>
          </cell>
          <cell r="CA4">
            <v>1000</v>
          </cell>
          <cell r="CB4">
            <v>44883</v>
          </cell>
          <cell r="CC4">
            <v>0</v>
          </cell>
          <cell r="CD4">
            <v>0</v>
          </cell>
          <cell r="CE4" t="str">
            <v/>
          </cell>
        </row>
        <row r="5">
          <cell r="A5">
            <v>2</v>
          </cell>
          <cell r="B5" t="str">
            <v>Вирусологическая неэффективность АРВТ</v>
          </cell>
          <cell r="C5">
            <v>10013</v>
          </cell>
          <cell r="D5">
            <v>44791</v>
          </cell>
          <cell r="E5" t="str">
            <v>плазма</v>
          </cell>
          <cell r="F5" t="str">
            <v>женский</v>
          </cell>
          <cell r="G5">
            <v>30577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 t="str">
            <v>да</v>
          </cell>
          <cell r="Q5">
            <v>0</v>
          </cell>
          <cell r="R5" t="str">
            <v>Тюмень</v>
          </cell>
          <cell r="S5" t="str">
            <v>Тюменская область</v>
          </cell>
          <cell r="T5" t="str">
            <v>Уральский</v>
          </cell>
          <cell r="U5" t="str">
            <v>Россия</v>
          </cell>
          <cell r="V5" t="str">
            <v>Тюменская область</v>
          </cell>
          <cell r="W5" t="str">
            <v>Россия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44760</v>
          </cell>
          <cell r="AE5">
            <v>4760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44862</v>
          </cell>
          <cell r="BQ5">
            <v>15820</v>
          </cell>
          <cell r="BR5" t="str">
            <v/>
          </cell>
          <cell r="BS5" t="str">
            <v/>
          </cell>
          <cell r="BT5">
            <v>44865</v>
          </cell>
          <cell r="BU5">
            <v>44872</v>
          </cell>
          <cell r="BV5">
            <v>700</v>
          </cell>
          <cell r="BW5">
            <v>700</v>
          </cell>
          <cell r="BX5">
            <v>44876</v>
          </cell>
          <cell r="BY5">
            <v>44876</v>
          </cell>
          <cell r="BZ5">
            <v>1002</v>
          </cell>
          <cell r="CA5">
            <v>1002</v>
          </cell>
          <cell r="CB5">
            <v>44883</v>
          </cell>
          <cell r="CC5">
            <v>0</v>
          </cell>
          <cell r="CD5">
            <v>0</v>
          </cell>
          <cell r="CE5" t="str">
            <v/>
          </cell>
        </row>
        <row r="6">
          <cell r="A6">
            <v>3</v>
          </cell>
          <cell r="B6" t="str">
            <v>Вирусологическая неэффективность АРВТ</v>
          </cell>
          <cell r="C6" t="str">
            <v>6/563</v>
          </cell>
          <cell r="D6">
            <v>44798</v>
          </cell>
          <cell r="E6" t="str">
            <v>плазма</v>
          </cell>
          <cell r="F6" t="str">
            <v>мужской</v>
          </cell>
          <cell r="G6">
            <v>29067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 t="str">
            <v>да</v>
          </cell>
          <cell r="Q6">
            <v>0</v>
          </cell>
          <cell r="R6" t="str">
            <v>Тюмень</v>
          </cell>
          <cell r="S6" t="str">
            <v>Тюменская область</v>
          </cell>
          <cell r="T6" t="str">
            <v>Уральский</v>
          </cell>
          <cell r="U6" t="str">
            <v>Россия</v>
          </cell>
          <cell r="V6" t="str">
            <v>Тюменская область</v>
          </cell>
          <cell r="W6" t="str">
            <v>Россия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44749</v>
          </cell>
          <cell r="AE6">
            <v>90000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44862</v>
          </cell>
          <cell r="BQ6">
            <v>2235</v>
          </cell>
          <cell r="BR6" t="str">
            <v/>
          </cell>
          <cell r="BS6" t="str">
            <v/>
          </cell>
          <cell r="BT6">
            <v>44865</v>
          </cell>
          <cell r="BU6">
            <v>44872</v>
          </cell>
          <cell r="BV6">
            <v>700</v>
          </cell>
          <cell r="BW6">
            <v>700</v>
          </cell>
          <cell r="BX6">
            <v>44876</v>
          </cell>
          <cell r="BY6">
            <v>44876</v>
          </cell>
          <cell r="BZ6">
            <v>1003</v>
          </cell>
          <cell r="CA6">
            <v>1003</v>
          </cell>
          <cell r="CB6">
            <v>44883</v>
          </cell>
          <cell r="CC6">
            <v>0</v>
          </cell>
          <cell r="CD6">
            <v>0</v>
          </cell>
          <cell r="CE6" t="str">
            <v/>
          </cell>
        </row>
        <row r="7">
          <cell r="A7">
            <v>4</v>
          </cell>
          <cell r="B7" t="str">
            <v>Исследование первичной резистентности ВИЧ</v>
          </cell>
          <cell r="C7">
            <v>29136</v>
          </cell>
          <cell r="D7">
            <v>44811</v>
          </cell>
          <cell r="E7" t="str">
            <v>плазма</v>
          </cell>
          <cell r="F7" t="str">
            <v>женский</v>
          </cell>
          <cell r="G7">
            <v>44047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 t="str">
            <v>нет</v>
          </cell>
          <cell r="Q7">
            <v>0</v>
          </cell>
          <cell r="R7" t="str">
            <v>Заводоуковск</v>
          </cell>
          <cell r="S7" t="str">
            <v>Тюменская область</v>
          </cell>
          <cell r="T7" t="str">
            <v>Уральский</v>
          </cell>
          <cell r="U7" t="str">
            <v>Россия</v>
          </cell>
          <cell r="V7" t="str">
            <v>Тюменская область</v>
          </cell>
          <cell r="W7" t="str">
            <v>Россия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44812</v>
          </cell>
          <cell r="AE7">
            <v>600000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44862</v>
          </cell>
          <cell r="BQ7">
            <v>303847</v>
          </cell>
          <cell r="BR7" t="str">
            <v/>
          </cell>
          <cell r="BS7" t="str">
            <v/>
          </cell>
          <cell r="BT7">
            <v>44865</v>
          </cell>
          <cell r="BU7">
            <v>44872</v>
          </cell>
          <cell r="BV7">
            <v>700</v>
          </cell>
          <cell r="BW7">
            <v>700</v>
          </cell>
          <cell r="BX7">
            <v>44876</v>
          </cell>
          <cell r="BY7">
            <v>44876</v>
          </cell>
          <cell r="BZ7">
            <v>1004</v>
          </cell>
          <cell r="CA7">
            <v>1004</v>
          </cell>
          <cell r="CB7">
            <v>44883</v>
          </cell>
          <cell r="CC7">
            <v>0</v>
          </cell>
          <cell r="CD7">
            <v>0</v>
          </cell>
          <cell r="CE7" t="str">
            <v/>
          </cell>
        </row>
        <row r="8">
          <cell r="A8">
            <v>5</v>
          </cell>
          <cell r="B8" t="str">
            <v>Исследование первичной резистентности ВИЧ</v>
          </cell>
          <cell r="C8">
            <v>29254</v>
          </cell>
          <cell r="D8">
            <v>44824</v>
          </cell>
          <cell r="E8" t="str">
            <v>плазма</v>
          </cell>
          <cell r="F8" t="str">
            <v>мужской</v>
          </cell>
          <cell r="G8">
            <v>39104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 t="str">
            <v>нет</v>
          </cell>
          <cell r="Q8">
            <v>0</v>
          </cell>
          <cell r="R8" t="str">
            <v>Тюмень</v>
          </cell>
          <cell r="S8" t="str">
            <v>Тюменская область</v>
          </cell>
          <cell r="T8" t="str">
            <v>Уральский</v>
          </cell>
          <cell r="U8" t="str">
            <v>Россия</v>
          </cell>
          <cell r="V8" t="str">
            <v>Тюменская область</v>
          </cell>
          <cell r="W8" t="str">
            <v>Россия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44825</v>
          </cell>
          <cell r="AE8">
            <v>3150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44862</v>
          </cell>
          <cell r="BQ8">
            <v>47370</v>
          </cell>
          <cell r="BR8" t="str">
            <v/>
          </cell>
          <cell r="BS8" t="str">
            <v/>
          </cell>
          <cell r="BT8">
            <v>44865</v>
          </cell>
          <cell r="BU8">
            <v>44872</v>
          </cell>
          <cell r="BV8">
            <v>700</v>
          </cell>
          <cell r="BW8">
            <v>700</v>
          </cell>
          <cell r="BX8">
            <v>44876</v>
          </cell>
          <cell r="BY8">
            <v>44876</v>
          </cell>
          <cell r="BZ8">
            <v>1005</v>
          </cell>
          <cell r="CA8">
            <v>1005</v>
          </cell>
          <cell r="CB8">
            <v>44883</v>
          </cell>
          <cell r="CC8">
            <v>0</v>
          </cell>
          <cell r="CD8">
            <v>0</v>
          </cell>
          <cell r="CE8" t="str">
            <v/>
          </cell>
        </row>
        <row r="9">
          <cell r="A9">
            <v>6</v>
          </cell>
          <cell r="B9" t="str">
            <v>Вирусологическая неэффективность АРВТ</v>
          </cell>
          <cell r="C9">
            <v>17789</v>
          </cell>
          <cell r="D9">
            <v>44825</v>
          </cell>
          <cell r="E9" t="str">
            <v>плазма</v>
          </cell>
          <cell r="F9" t="str">
            <v>женский</v>
          </cell>
          <cell r="G9">
            <v>31620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 t="str">
            <v>да</v>
          </cell>
          <cell r="Q9">
            <v>0</v>
          </cell>
          <cell r="R9" t="str">
            <v>Тюмень</v>
          </cell>
          <cell r="S9" t="str">
            <v>Тюменская область</v>
          </cell>
          <cell r="T9" t="str">
            <v>Уральский</v>
          </cell>
          <cell r="U9" t="str">
            <v>Россия</v>
          </cell>
          <cell r="V9" t="str">
            <v>Тюменская область</v>
          </cell>
          <cell r="W9" t="str">
            <v>Россия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44818</v>
          </cell>
          <cell r="AE9">
            <v>9340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44862</v>
          </cell>
          <cell r="BQ9">
            <v>160564</v>
          </cell>
          <cell r="BR9" t="str">
            <v/>
          </cell>
          <cell r="BS9" t="str">
            <v/>
          </cell>
          <cell r="BT9">
            <v>44865</v>
          </cell>
          <cell r="BU9">
            <v>44872</v>
          </cell>
          <cell r="BV9">
            <v>700</v>
          </cell>
          <cell r="BW9">
            <v>700</v>
          </cell>
          <cell r="BX9">
            <v>44876</v>
          </cell>
          <cell r="BY9">
            <v>44876</v>
          </cell>
          <cell r="BZ9">
            <v>1006</v>
          </cell>
          <cell r="CA9">
            <v>1006</v>
          </cell>
          <cell r="CB9">
            <v>44883</v>
          </cell>
          <cell r="CC9">
            <v>0</v>
          </cell>
          <cell r="CD9">
            <v>0</v>
          </cell>
          <cell r="CE9" t="str">
            <v/>
          </cell>
        </row>
        <row r="10">
          <cell r="A10">
            <v>7</v>
          </cell>
          <cell r="B10" t="str">
            <v>Вирусологическая неэффективность АРВТ</v>
          </cell>
          <cell r="C10">
            <v>8842</v>
          </cell>
          <cell r="D10">
            <v>44826</v>
          </cell>
          <cell r="E10" t="str">
            <v>плазма</v>
          </cell>
          <cell r="F10" t="str">
            <v>женский</v>
          </cell>
          <cell r="G10">
            <v>29225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 t="str">
            <v>да</v>
          </cell>
          <cell r="Q10">
            <v>0</v>
          </cell>
          <cell r="R10" t="str">
            <v>Тюмень</v>
          </cell>
          <cell r="S10" t="str">
            <v>Тюменская область</v>
          </cell>
          <cell r="T10" t="str">
            <v>Уральский</v>
          </cell>
          <cell r="U10" t="str">
            <v>Россия</v>
          </cell>
          <cell r="V10" t="str">
            <v>Тюменская область</v>
          </cell>
          <cell r="W10" t="str">
            <v>Россия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44826</v>
          </cell>
          <cell r="AE10">
            <v>6500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44862</v>
          </cell>
          <cell r="BQ10">
            <v>5629</v>
          </cell>
          <cell r="BR10" t="str">
            <v/>
          </cell>
          <cell r="BS10" t="str">
            <v/>
          </cell>
          <cell r="BT10">
            <v>44865</v>
          </cell>
          <cell r="BU10">
            <v>44872</v>
          </cell>
          <cell r="BV10">
            <v>700</v>
          </cell>
          <cell r="BW10">
            <v>700</v>
          </cell>
          <cell r="BX10">
            <v>44876</v>
          </cell>
          <cell r="BY10">
            <v>0</v>
          </cell>
          <cell r="CA10">
            <v>1022</v>
          </cell>
          <cell r="CB10">
            <v>44883</v>
          </cell>
          <cell r="CC10">
            <v>0</v>
          </cell>
          <cell r="CD10">
            <v>0</v>
          </cell>
          <cell r="CE10" t="str">
            <v/>
          </cell>
        </row>
        <row r="11">
          <cell r="A11">
            <v>8</v>
          </cell>
          <cell r="B11" t="str">
            <v>Вирусологическая неэффективность АРВТ</v>
          </cell>
          <cell r="C11">
            <v>9337</v>
          </cell>
          <cell r="D11">
            <v>44826</v>
          </cell>
          <cell r="E11" t="str">
            <v>плазма</v>
          </cell>
          <cell r="F11" t="str">
            <v>женский</v>
          </cell>
          <cell r="G11">
            <v>38848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 t="str">
            <v>да</v>
          </cell>
          <cell r="Q11">
            <v>0</v>
          </cell>
          <cell r="R11" t="str">
            <v>Тюмень</v>
          </cell>
          <cell r="S11" t="str">
            <v>Тюменская область</v>
          </cell>
          <cell r="T11" t="str">
            <v>Уральский</v>
          </cell>
          <cell r="U11" t="str">
            <v>Россия</v>
          </cell>
          <cell r="V11" t="str">
            <v>Тюменская область</v>
          </cell>
          <cell r="W11" t="str">
            <v>Россия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44827</v>
          </cell>
          <cell r="AE11">
            <v>39000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44862</v>
          </cell>
          <cell r="BQ11">
            <v>53701</v>
          </cell>
          <cell r="BR11" t="str">
            <v/>
          </cell>
          <cell r="BS11" t="str">
            <v/>
          </cell>
          <cell r="BT11">
            <v>44865</v>
          </cell>
          <cell r="BU11">
            <v>44872</v>
          </cell>
          <cell r="BV11">
            <v>700</v>
          </cell>
          <cell r="BW11">
            <v>700</v>
          </cell>
          <cell r="BX11">
            <v>44876</v>
          </cell>
          <cell r="BY11">
            <v>0</v>
          </cell>
          <cell r="CA11">
            <v>1023</v>
          </cell>
          <cell r="CB11">
            <v>44883</v>
          </cell>
          <cell r="CC11">
            <v>0</v>
          </cell>
          <cell r="CD11">
            <v>0</v>
          </cell>
          <cell r="CE11" t="str">
            <v/>
          </cell>
        </row>
        <row r="12">
          <cell r="A12">
            <v>9</v>
          </cell>
          <cell r="B12" t="str">
            <v>Вирусологическая неэффективность АРВТ</v>
          </cell>
          <cell r="C12">
            <v>8563</v>
          </cell>
          <cell r="D12">
            <v>44826</v>
          </cell>
          <cell r="E12" t="str">
            <v>плазма</v>
          </cell>
          <cell r="F12" t="str">
            <v>женский</v>
          </cell>
          <cell r="G12">
            <v>28355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 t="str">
            <v>да</v>
          </cell>
          <cell r="Q12">
            <v>0</v>
          </cell>
          <cell r="R12" t="str">
            <v>Тюмень</v>
          </cell>
          <cell r="S12" t="str">
            <v>Тюменская область</v>
          </cell>
          <cell r="T12" t="str">
            <v>Уральский</v>
          </cell>
          <cell r="U12" t="str">
            <v>Россия</v>
          </cell>
          <cell r="V12" t="str">
            <v>Тюменская область</v>
          </cell>
          <cell r="W12" t="str">
            <v>Россия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44824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44862</v>
          </cell>
          <cell r="BQ12">
            <v>146343</v>
          </cell>
          <cell r="BR12" t="str">
            <v/>
          </cell>
          <cell r="BS12" t="str">
            <v/>
          </cell>
          <cell r="BT12">
            <v>44865</v>
          </cell>
          <cell r="BU12">
            <v>44872</v>
          </cell>
          <cell r="BV12">
            <v>700</v>
          </cell>
          <cell r="BW12">
            <v>700</v>
          </cell>
          <cell r="BX12">
            <v>44876</v>
          </cell>
          <cell r="BY12">
            <v>0</v>
          </cell>
          <cell r="CA12">
            <v>1024</v>
          </cell>
          <cell r="CB12">
            <v>44883</v>
          </cell>
          <cell r="CC12">
            <v>0</v>
          </cell>
          <cell r="CD12">
            <v>0</v>
          </cell>
          <cell r="CE12" t="str">
            <v/>
          </cell>
        </row>
        <row r="13">
          <cell r="A13">
            <v>10</v>
          </cell>
          <cell r="B13" t="str">
            <v>Вирусологическая неэффективность АРВТ</v>
          </cell>
          <cell r="C13">
            <v>18823</v>
          </cell>
          <cell r="D13">
            <v>44826</v>
          </cell>
          <cell r="E13" t="str">
            <v>плазма</v>
          </cell>
          <cell r="F13" t="str">
            <v>мужской</v>
          </cell>
          <cell r="G13">
            <v>41272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 t="str">
            <v>да</v>
          </cell>
          <cell r="Q13">
            <v>0</v>
          </cell>
          <cell r="R13" t="str">
            <v>Тюмень</v>
          </cell>
          <cell r="S13" t="str">
            <v>Тюменская область</v>
          </cell>
          <cell r="T13" t="str">
            <v>Уральский</v>
          </cell>
          <cell r="U13" t="str">
            <v>Россия</v>
          </cell>
          <cell r="V13" t="str">
            <v>Тюменская область</v>
          </cell>
          <cell r="W13" t="str">
            <v>Россия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44830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44862</v>
          </cell>
          <cell r="BQ13">
            <v>0</v>
          </cell>
          <cell r="BR13">
            <v>44866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CA13">
            <v>1056</v>
          </cell>
          <cell r="CB13">
            <v>0</v>
          </cell>
          <cell r="CC13">
            <v>0</v>
          </cell>
          <cell r="CD13">
            <v>0</v>
          </cell>
          <cell r="CE13" t="str">
            <v>Билалова</v>
          </cell>
        </row>
        <row r="14">
          <cell r="A14">
            <v>11</v>
          </cell>
          <cell r="B14" t="str">
            <v>Вирусологическая неэффективность АРВТ</v>
          </cell>
          <cell r="C14">
            <v>20365</v>
          </cell>
          <cell r="D14">
            <v>44833</v>
          </cell>
          <cell r="E14" t="str">
            <v>плазма</v>
          </cell>
          <cell r="F14" t="str">
            <v>мужской</v>
          </cell>
          <cell r="G14">
            <v>32662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 t="str">
            <v>да</v>
          </cell>
          <cell r="Q14">
            <v>0</v>
          </cell>
          <cell r="R14" t="str">
            <v>Тюмень</v>
          </cell>
          <cell r="S14" t="str">
            <v>Тюменская область</v>
          </cell>
          <cell r="T14" t="str">
            <v>Уральский</v>
          </cell>
          <cell r="U14" t="str">
            <v>Россия</v>
          </cell>
          <cell r="V14" t="str">
            <v>Тюменская область</v>
          </cell>
          <cell r="W14" t="str">
            <v>Россия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44833</v>
          </cell>
          <cell r="AE14">
            <v>26000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44862</v>
          </cell>
          <cell r="BQ14">
            <v>61780</v>
          </cell>
          <cell r="BR14" t="str">
            <v/>
          </cell>
          <cell r="BS14" t="str">
            <v/>
          </cell>
          <cell r="BT14">
            <v>44865</v>
          </cell>
          <cell r="BU14">
            <v>44872</v>
          </cell>
          <cell r="BV14">
            <v>700</v>
          </cell>
          <cell r="BW14">
            <v>700</v>
          </cell>
          <cell r="BX14">
            <v>44876</v>
          </cell>
          <cell r="BY14">
            <v>0</v>
          </cell>
          <cell r="CA14">
            <v>1025</v>
          </cell>
          <cell r="CB14">
            <v>44883</v>
          </cell>
          <cell r="CC14">
            <v>0</v>
          </cell>
          <cell r="CD14">
            <v>0</v>
          </cell>
          <cell r="CE14" t="str">
            <v/>
          </cell>
        </row>
        <row r="15">
          <cell r="A15">
            <v>12</v>
          </cell>
          <cell r="B15" t="str">
            <v>Вирусологическая неэффективность АРВТ</v>
          </cell>
          <cell r="C15" t="str">
            <v>166а</v>
          </cell>
          <cell r="D15">
            <v>44834</v>
          </cell>
          <cell r="E15" t="str">
            <v>плазма</v>
          </cell>
          <cell r="F15" t="str">
            <v>мужской</v>
          </cell>
          <cell r="G15">
            <v>24494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 t="str">
            <v>да</v>
          </cell>
          <cell r="Q15">
            <v>0</v>
          </cell>
          <cell r="R15" t="str">
            <v>Тюмень</v>
          </cell>
          <cell r="S15" t="str">
            <v>Тюменская область</v>
          </cell>
          <cell r="T15" t="str">
            <v>Уральский</v>
          </cell>
          <cell r="U15" t="str">
            <v>Россия</v>
          </cell>
          <cell r="V15" t="str">
            <v>Тюменская область</v>
          </cell>
          <cell r="W15" t="str">
            <v>Россия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44827</v>
          </cell>
          <cell r="AE15">
            <v>1510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44862</v>
          </cell>
          <cell r="BQ15">
            <v>0</v>
          </cell>
          <cell r="BR15">
            <v>44866</v>
          </cell>
          <cell r="BS15">
            <v>0</v>
          </cell>
          <cell r="BT15">
            <v>44865</v>
          </cell>
          <cell r="BU15">
            <v>44872</v>
          </cell>
          <cell r="BV15">
            <v>700</v>
          </cell>
          <cell r="BW15">
            <v>700</v>
          </cell>
          <cell r="BX15">
            <v>44876</v>
          </cell>
          <cell r="BY15">
            <v>0</v>
          </cell>
          <cell r="CA15">
            <v>1026</v>
          </cell>
          <cell r="CB15">
            <v>44883</v>
          </cell>
          <cell r="CC15">
            <v>0</v>
          </cell>
          <cell r="CD15">
            <v>0</v>
          </cell>
          <cell r="CE15" t="str">
            <v/>
          </cell>
        </row>
        <row r="16">
          <cell r="A16">
            <v>13</v>
          </cell>
          <cell r="B16" t="str">
            <v>Вирусологическая неэффективность АРВТ</v>
          </cell>
          <cell r="C16">
            <v>12581</v>
          </cell>
          <cell r="D16">
            <v>44840</v>
          </cell>
          <cell r="E16" t="str">
            <v>плазма</v>
          </cell>
          <cell r="F16" t="str">
            <v>женский</v>
          </cell>
          <cell r="G16">
            <v>38975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 t="str">
            <v>да</v>
          </cell>
          <cell r="Q16">
            <v>0</v>
          </cell>
          <cell r="R16" t="str">
            <v>Тюмень</v>
          </cell>
          <cell r="S16" t="str">
            <v>Тюменская область</v>
          </cell>
          <cell r="T16" t="str">
            <v>Уральский</v>
          </cell>
          <cell r="U16" t="str">
            <v>Россия</v>
          </cell>
          <cell r="V16" t="str">
            <v>Тюменская область</v>
          </cell>
          <cell r="W16" t="str">
            <v>Россия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44841</v>
          </cell>
          <cell r="AE16">
            <v>61000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44862</v>
          </cell>
          <cell r="BQ16">
            <v>125418</v>
          </cell>
          <cell r="BR16" t="str">
            <v/>
          </cell>
          <cell r="BS16" t="str">
            <v/>
          </cell>
          <cell r="BT16">
            <v>44866</v>
          </cell>
          <cell r="BU16">
            <v>44873</v>
          </cell>
          <cell r="BV16">
            <v>700</v>
          </cell>
          <cell r="BW16">
            <v>700</v>
          </cell>
          <cell r="BX16">
            <v>0</v>
          </cell>
          <cell r="BY16">
            <v>0</v>
          </cell>
          <cell r="CA16">
            <v>1027</v>
          </cell>
          <cell r="CB16">
            <v>44888</v>
          </cell>
          <cell r="CC16">
            <v>0</v>
          </cell>
          <cell r="CD16" t="str">
            <v>Билалова</v>
          </cell>
          <cell r="CE16" t="str">
            <v/>
          </cell>
        </row>
        <row r="17">
          <cell r="A17">
            <v>14</v>
          </cell>
          <cell r="B17" t="str">
            <v>Вирусологическая неэффективность АРВТ</v>
          </cell>
          <cell r="C17">
            <v>9274</v>
          </cell>
          <cell r="D17">
            <v>44840</v>
          </cell>
          <cell r="E17" t="str">
            <v>плазма</v>
          </cell>
          <cell r="F17" t="str">
            <v>мужской</v>
          </cell>
          <cell r="G17">
            <v>28873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 t="str">
            <v>да</v>
          </cell>
          <cell r="Q17">
            <v>0</v>
          </cell>
          <cell r="R17" t="str">
            <v>Тюмень</v>
          </cell>
          <cell r="S17" t="str">
            <v>Тюменская область</v>
          </cell>
          <cell r="T17" t="str">
            <v>Уральский</v>
          </cell>
          <cell r="U17" t="str">
            <v>Россия</v>
          </cell>
          <cell r="V17" t="str">
            <v>Тюменская область</v>
          </cell>
          <cell r="W17" t="str">
            <v>Россия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44823</v>
          </cell>
          <cell r="AE17">
            <v>28000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44862</v>
          </cell>
          <cell r="BQ17">
            <v>48259</v>
          </cell>
          <cell r="BR17" t="str">
            <v/>
          </cell>
          <cell r="BS17" t="str">
            <v/>
          </cell>
          <cell r="BT17">
            <v>44865</v>
          </cell>
          <cell r="BU17">
            <v>44872</v>
          </cell>
          <cell r="BV17">
            <v>700</v>
          </cell>
          <cell r="BW17">
            <v>700</v>
          </cell>
          <cell r="BX17">
            <v>44876</v>
          </cell>
          <cell r="BY17">
            <v>0</v>
          </cell>
          <cell r="CA17">
            <v>1028</v>
          </cell>
          <cell r="CB17">
            <v>44883</v>
          </cell>
          <cell r="CC17">
            <v>0</v>
          </cell>
          <cell r="CD17">
            <v>0</v>
          </cell>
          <cell r="CE17" t="str">
            <v/>
          </cell>
        </row>
        <row r="18">
          <cell r="A18">
            <v>15</v>
          </cell>
          <cell r="B18" t="str">
            <v>Вирусологическая неэффективность АРВТ</v>
          </cell>
          <cell r="C18">
            <v>14725</v>
          </cell>
          <cell r="D18">
            <v>44841</v>
          </cell>
          <cell r="E18" t="str">
            <v>плазма</v>
          </cell>
          <cell r="F18" t="str">
            <v>мужской</v>
          </cell>
          <cell r="G18">
            <v>40654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 t="str">
            <v>да</v>
          </cell>
          <cell r="Q18">
            <v>0</v>
          </cell>
          <cell r="R18" t="str">
            <v>Тюмень</v>
          </cell>
          <cell r="S18" t="str">
            <v>Тюменская область</v>
          </cell>
          <cell r="T18" t="str">
            <v>Уральский</v>
          </cell>
          <cell r="U18" t="str">
            <v>Россия</v>
          </cell>
          <cell r="V18" t="str">
            <v>Тюменская область</v>
          </cell>
          <cell r="W18" t="str">
            <v>Россия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44791</v>
          </cell>
          <cell r="AE18">
            <v>1110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44862</v>
          </cell>
          <cell r="BQ18">
            <v>568</v>
          </cell>
          <cell r="BR18" t="str">
            <v/>
          </cell>
          <cell r="BS18" t="str">
            <v/>
          </cell>
          <cell r="BT18">
            <v>44865</v>
          </cell>
          <cell r="BU18">
            <v>44872</v>
          </cell>
          <cell r="BV18">
            <v>700</v>
          </cell>
          <cell r="BW18">
            <v>700</v>
          </cell>
          <cell r="BX18">
            <v>44879</v>
          </cell>
          <cell r="BY18">
            <v>0</v>
          </cell>
          <cell r="BZ18">
            <v>1007</v>
          </cell>
          <cell r="CA18">
            <v>1007</v>
          </cell>
          <cell r="CB18">
            <v>44883</v>
          </cell>
          <cell r="CC18">
            <v>0</v>
          </cell>
          <cell r="CD18">
            <v>0</v>
          </cell>
          <cell r="CE18" t="str">
            <v/>
          </cell>
        </row>
        <row r="19">
          <cell r="A19">
            <v>16</v>
          </cell>
          <cell r="B19" t="str">
            <v>Вирусологическая неэффективность АРВТ</v>
          </cell>
          <cell r="C19">
            <v>15308</v>
          </cell>
          <cell r="D19">
            <v>44844</v>
          </cell>
          <cell r="E19" t="str">
            <v>плазма</v>
          </cell>
          <cell r="F19" t="str">
            <v>мужской</v>
          </cell>
          <cell r="G19">
            <v>31019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str">
            <v>да</v>
          </cell>
          <cell r="Q19">
            <v>0</v>
          </cell>
          <cell r="R19" t="str">
            <v>Тюмень</v>
          </cell>
          <cell r="S19" t="str">
            <v>Тюменская область</v>
          </cell>
          <cell r="T19" t="str">
            <v>Уральский</v>
          </cell>
          <cell r="U19" t="str">
            <v>Россия</v>
          </cell>
          <cell r="V19" t="str">
            <v>Тюменская область</v>
          </cell>
          <cell r="W19" t="str">
            <v>Россия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44844</v>
          </cell>
          <cell r="AE19">
            <v>350000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44862</v>
          </cell>
          <cell r="BQ19">
            <v>115937</v>
          </cell>
          <cell r="BR19" t="str">
            <v/>
          </cell>
          <cell r="BS19" t="str">
            <v/>
          </cell>
          <cell r="BT19">
            <v>44865</v>
          </cell>
          <cell r="BU19">
            <v>44872</v>
          </cell>
          <cell r="BV19">
            <v>700</v>
          </cell>
          <cell r="BW19">
            <v>700</v>
          </cell>
          <cell r="BX19">
            <v>44879</v>
          </cell>
          <cell r="BY19">
            <v>0</v>
          </cell>
          <cell r="BZ19">
            <v>1008</v>
          </cell>
          <cell r="CA19">
            <v>1008</v>
          </cell>
          <cell r="CB19">
            <v>44883</v>
          </cell>
          <cell r="CC19">
            <v>0</v>
          </cell>
          <cell r="CD19">
            <v>0</v>
          </cell>
          <cell r="CE19" t="str">
            <v/>
          </cell>
        </row>
        <row r="20">
          <cell r="A20">
            <v>17</v>
          </cell>
          <cell r="B20" t="str">
            <v>Вирусологическая неэффективность АРВТ</v>
          </cell>
          <cell r="C20" t="str">
            <v>234.1743</v>
          </cell>
          <cell r="D20">
            <v>44844</v>
          </cell>
          <cell r="E20" t="str">
            <v>плазма</v>
          </cell>
          <cell r="F20" t="str">
            <v>женский</v>
          </cell>
          <cell r="G20">
            <v>30611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 t="str">
            <v>да</v>
          </cell>
          <cell r="Q20">
            <v>0</v>
          </cell>
          <cell r="R20" t="str">
            <v>Тюмень</v>
          </cell>
          <cell r="S20" t="str">
            <v>Тюменская область</v>
          </cell>
          <cell r="T20" t="str">
            <v>Уральский</v>
          </cell>
          <cell r="U20" t="str">
            <v>Россия</v>
          </cell>
          <cell r="V20" t="str">
            <v>Тюменская область</v>
          </cell>
          <cell r="W20" t="str">
            <v>Россия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44837</v>
          </cell>
          <cell r="AE20">
            <v>3700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44862</v>
          </cell>
          <cell r="BQ20">
            <v>0</v>
          </cell>
          <cell r="BR20">
            <v>44866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CA20">
            <v>1057</v>
          </cell>
          <cell r="CB20">
            <v>0</v>
          </cell>
          <cell r="CC20">
            <v>0</v>
          </cell>
          <cell r="CD20">
            <v>0</v>
          </cell>
          <cell r="CE20" t="str">
            <v>Билалова</v>
          </cell>
        </row>
        <row r="21">
          <cell r="A21">
            <v>18</v>
          </cell>
          <cell r="B21" t="str">
            <v>Вирусологическая неэффективность АРВТ</v>
          </cell>
          <cell r="C21">
            <v>7145</v>
          </cell>
          <cell r="D21">
            <v>44846</v>
          </cell>
          <cell r="E21" t="str">
            <v>плазма</v>
          </cell>
          <cell r="F21" t="str">
            <v>женский</v>
          </cell>
          <cell r="G21">
            <v>30034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 t="str">
            <v>да</v>
          </cell>
          <cell r="Q21">
            <v>0</v>
          </cell>
          <cell r="R21" t="str">
            <v>Тюмень</v>
          </cell>
          <cell r="S21" t="str">
            <v>Тюменская область</v>
          </cell>
          <cell r="T21" t="str">
            <v>Уральский</v>
          </cell>
          <cell r="U21" t="str">
            <v>Россия</v>
          </cell>
          <cell r="V21" t="str">
            <v>Тюменская область</v>
          </cell>
          <cell r="W21" t="str">
            <v>Россия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44832</v>
          </cell>
          <cell r="AE21">
            <v>3400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44862</v>
          </cell>
          <cell r="BQ21">
            <v>13001</v>
          </cell>
          <cell r="BR21" t="str">
            <v/>
          </cell>
          <cell r="BS21" t="str">
            <v/>
          </cell>
          <cell r="BT21">
            <v>44865</v>
          </cell>
          <cell r="BU21">
            <v>44872</v>
          </cell>
          <cell r="BV21">
            <v>700</v>
          </cell>
          <cell r="BW21">
            <v>700</v>
          </cell>
          <cell r="BX21">
            <v>44879</v>
          </cell>
          <cell r="BY21">
            <v>0</v>
          </cell>
          <cell r="BZ21">
            <v>1009</v>
          </cell>
          <cell r="CA21">
            <v>1009</v>
          </cell>
          <cell r="CB21">
            <v>44883</v>
          </cell>
          <cell r="CC21">
            <v>0</v>
          </cell>
          <cell r="CD21">
            <v>0</v>
          </cell>
          <cell r="CE21" t="str">
            <v/>
          </cell>
        </row>
        <row r="22">
          <cell r="A22">
            <v>19</v>
          </cell>
          <cell r="B22" t="str">
            <v>Вирусологическая неэффективность АРВТ</v>
          </cell>
          <cell r="C22">
            <v>16885</v>
          </cell>
          <cell r="D22">
            <v>44851</v>
          </cell>
          <cell r="E22" t="str">
            <v>плазма</v>
          </cell>
          <cell r="F22" t="str">
            <v>женский</v>
          </cell>
          <cell r="G22">
            <v>31255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 t="str">
            <v>да</v>
          </cell>
          <cell r="Q22">
            <v>0</v>
          </cell>
          <cell r="R22" t="str">
            <v>Тюмень</v>
          </cell>
          <cell r="S22" t="str">
            <v>Тюменская область</v>
          </cell>
          <cell r="T22" t="str">
            <v>Уральский</v>
          </cell>
          <cell r="U22" t="str">
            <v>Россия</v>
          </cell>
          <cell r="V22" t="str">
            <v>Тюменская область</v>
          </cell>
          <cell r="W22" t="str">
            <v>Россия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44743</v>
          </cell>
          <cell r="AE22">
            <v>3900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44862</v>
          </cell>
          <cell r="BQ22">
            <v>0</v>
          </cell>
          <cell r="BR22">
            <v>44866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CA22">
            <v>1058</v>
          </cell>
          <cell r="CB22">
            <v>0</v>
          </cell>
          <cell r="CC22">
            <v>0</v>
          </cell>
          <cell r="CD22">
            <v>0</v>
          </cell>
          <cell r="CE22" t="str">
            <v>Билалова</v>
          </cell>
        </row>
        <row r="23">
          <cell r="A23">
            <v>20</v>
          </cell>
          <cell r="B23" t="str">
            <v>Вирусологическая неэффективность АРВТ</v>
          </cell>
          <cell r="C23" t="str">
            <v>6/528</v>
          </cell>
          <cell r="D23">
            <v>44851</v>
          </cell>
          <cell r="E23" t="str">
            <v>плазма</v>
          </cell>
          <cell r="F23" t="str">
            <v>мужской</v>
          </cell>
          <cell r="G23">
            <v>28886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 t="str">
            <v>да</v>
          </cell>
          <cell r="Q23">
            <v>0</v>
          </cell>
          <cell r="R23" t="str">
            <v>Тюмень</v>
          </cell>
          <cell r="S23" t="str">
            <v>Тюменская область</v>
          </cell>
          <cell r="T23" t="str">
            <v>Уральский</v>
          </cell>
          <cell r="U23" t="str">
            <v>Россия</v>
          </cell>
          <cell r="V23" t="str">
            <v>Тюменская область</v>
          </cell>
          <cell r="W23" t="str">
            <v>Россия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44862</v>
          </cell>
          <cell r="BQ23">
            <v>653451</v>
          </cell>
          <cell r="BR23" t="str">
            <v/>
          </cell>
          <cell r="BS23" t="str">
            <v/>
          </cell>
          <cell r="BT23">
            <v>44865</v>
          </cell>
          <cell r="BU23">
            <v>44872</v>
          </cell>
          <cell r="BV23">
            <v>700</v>
          </cell>
          <cell r="BW23">
            <v>700</v>
          </cell>
          <cell r="BX23">
            <v>44879</v>
          </cell>
          <cell r="BY23">
            <v>0</v>
          </cell>
          <cell r="BZ23">
            <v>1010</v>
          </cell>
          <cell r="CA23">
            <v>1010</v>
          </cell>
          <cell r="CB23">
            <v>44889</v>
          </cell>
          <cell r="CC23">
            <v>0</v>
          </cell>
          <cell r="CD23">
            <v>0</v>
          </cell>
          <cell r="CE23" t="str">
            <v/>
          </cell>
        </row>
        <row r="24">
          <cell r="A24">
            <v>21</v>
          </cell>
          <cell r="B24" t="str">
            <v>Вирусологическая неэффективность АРВТ</v>
          </cell>
          <cell r="C24">
            <v>10727</v>
          </cell>
          <cell r="D24">
            <v>44852</v>
          </cell>
          <cell r="E24" t="str">
            <v>плазма</v>
          </cell>
          <cell r="F24" t="str">
            <v>женский</v>
          </cell>
          <cell r="G24">
            <v>28519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 t="str">
            <v>да</v>
          </cell>
          <cell r="Q24">
            <v>0</v>
          </cell>
          <cell r="R24" t="str">
            <v>Тюмень</v>
          </cell>
          <cell r="S24" t="str">
            <v>Тюменская область</v>
          </cell>
          <cell r="T24" t="str">
            <v>Уральский</v>
          </cell>
          <cell r="U24" t="str">
            <v>Россия</v>
          </cell>
          <cell r="V24" t="str">
            <v>Тюменская область</v>
          </cell>
          <cell r="W24" t="str">
            <v>Россия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44862</v>
          </cell>
          <cell r="BQ24">
            <v>54216</v>
          </cell>
          <cell r="BR24" t="str">
            <v/>
          </cell>
          <cell r="BS24" t="str">
            <v/>
          </cell>
          <cell r="BT24">
            <v>44865</v>
          </cell>
          <cell r="BU24">
            <v>44872</v>
          </cell>
          <cell r="BV24">
            <v>700</v>
          </cell>
          <cell r="BW24">
            <v>700</v>
          </cell>
          <cell r="BX24">
            <v>44879</v>
          </cell>
          <cell r="BY24">
            <v>0</v>
          </cell>
          <cell r="BZ24">
            <v>1011</v>
          </cell>
          <cell r="CA24">
            <v>1011</v>
          </cell>
          <cell r="CB24">
            <v>44883</v>
          </cell>
          <cell r="CC24">
            <v>0</v>
          </cell>
          <cell r="CD24">
            <v>0</v>
          </cell>
          <cell r="CE24" t="str">
            <v/>
          </cell>
        </row>
        <row r="25">
          <cell r="A25">
            <v>22</v>
          </cell>
          <cell r="B25" t="str">
            <v>Вирусологическая неэффективность АРВТ</v>
          </cell>
          <cell r="C25">
            <v>25076</v>
          </cell>
          <cell r="D25">
            <v>44852</v>
          </cell>
          <cell r="E25" t="str">
            <v>плазма</v>
          </cell>
          <cell r="F25" t="str">
            <v>женский</v>
          </cell>
          <cell r="G25">
            <v>33659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 t="str">
            <v>да</v>
          </cell>
          <cell r="Q25">
            <v>0</v>
          </cell>
          <cell r="R25" t="str">
            <v>Тюмень</v>
          </cell>
          <cell r="S25" t="str">
            <v>Тюменская область</v>
          </cell>
          <cell r="T25" t="str">
            <v>Уральский</v>
          </cell>
          <cell r="U25" t="str">
            <v>Россия</v>
          </cell>
          <cell r="V25" t="str">
            <v>Тюменская область</v>
          </cell>
          <cell r="W25" t="str">
            <v>Россия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44823</v>
          </cell>
          <cell r="AE25">
            <v>400000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44862</v>
          </cell>
          <cell r="BQ25">
            <v>19737</v>
          </cell>
          <cell r="BR25" t="str">
            <v/>
          </cell>
          <cell r="BS25" t="str">
            <v/>
          </cell>
          <cell r="BT25">
            <v>44865</v>
          </cell>
          <cell r="BU25">
            <v>44872</v>
          </cell>
          <cell r="BV25">
            <v>700</v>
          </cell>
          <cell r="BW25">
            <v>700</v>
          </cell>
          <cell r="BX25">
            <v>44879</v>
          </cell>
          <cell r="BY25">
            <v>0</v>
          </cell>
          <cell r="BZ25">
            <v>1012</v>
          </cell>
          <cell r="CA25">
            <v>1012</v>
          </cell>
          <cell r="CB25">
            <v>44883</v>
          </cell>
          <cell r="CC25">
            <v>0</v>
          </cell>
          <cell r="CD25">
            <v>0</v>
          </cell>
          <cell r="CE25" t="str">
            <v/>
          </cell>
        </row>
        <row r="26">
          <cell r="A26">
            <v>23</v>
          </cell>
          <cell r="B26" t="str">
            <v>Исследование первичной резистентности ВИЧ</v>
          </cell>
          <cell r="C26">
            <v>29295</v>
          </cell>
          <cell r="D26">
            <v>44859</v>
          </cell>
          <cell r="E26" t="str">
            <v>плазма</v>
          </cell>
          <cell r="F26" t="str">
            <v>мужской</v>
          </cell>
          <cell r="G26">
            <v>26182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 t="str">
            <v>нет</v>
          </cell>
          <cell r="Q26">
            <v>0</v>
          </cell>
          <cell r="R26" t="str">
            <v>Тюмень</v>
          </cell>
          <cell r="S26" t="str">
            <v>Тюменская область</v>
          </cell>
          <cell r="T26" t="str">
            <v>Уральский</v>
          </cell>
          <cell r="U26" t="str">
            <v>Россия</v>
          </cell>
          <cell r="V26" t="str">
            <v>Тюменская область</v>
          </cell>
          <cell r="W26" t="str">
            <v>Россия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44862</v>
          </cell>
          <cell r="BQ26">
            <v>1485296</v>
          </cell>
          <cell r="BR26" t="str">
            <v/>
          </cell>
          <cell r="BS26" t="str">
            <v/>
          </cell>
          <cell r="BT26">
            <v>44866</v>
          </cell>
          <cell r="BU26">
            <v>44873</v>
          </cell>
          <cell r="BV26">
            <v>700</v>
          </cell>
          <cell r="BW26">
            <v>700</v>
          </cell>
          <cell r="BX26">
            <v>44879</v>
          </cell>
          <cell r="BY26">
            <v>0</v>
          </cell>
          <cell r="BZ26">
            <v>1013</v>
          </cell>
          <cell r="CA26">
            <v>1013</v>
          </cell>
          <cell r="CB26">
            <v>44883</v>
          </cell>
          <cell r="CC26">
            <v>0</v>
          </cell>
          <cell r="CD26">
            <v>0</v>
          </cell>
          <cell r="CE26" t="str">
            <v/>
          </cell>
        </row>
        <row r="27">
          <cell r="A27">
            <v>24</v>
          </cell>
          <cell r="B27" t="str">
            <v>Вирусологическая неэффективность АРВТ</v>
          </cell>
          <cell r="C27">
            <v>20912</v>
          </cell>
          <cell r="D27">
            <v>44853</v>
          </cell>
          <cell r="E27" t="str">
            <v>плазма</v>
          </cell>
          <cell r="F27" t="str">
            <v>женский</v>
          </cell>
          <cell r="G27">
            <v>30068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 t="str">
            <v>да</v>
          </cell>
          <cell r="Q27">
            <v>0</v>
          </cell>
          <cell r="R27" t="str">
            <v>Омутнинск</v>
          </cell>
          <cell r="S27" t="str">
            <v>Тюменская область</v>
          </cell>
          <cell r="T27" t="str">
            <v>Уральский</v>
          </cell>
          <cell r="U27" t="str">
            <v>Россия</v>
          </cell>
          <cell r="V27" t="str">
            <v>Тюменская область</v>
          </cell>
          <cell r="W27" t="str">
            <v>Россия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44742</v>
          </cell>
          <cell r="AE27">
            <v>390000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44862</v>
          </cell>
          <cell r="BQ27">
            <v>0</v>
          </cell>
          <cell r="BR27">
            <v>44866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CA27">
            <v>1059</v>
          </cell>
          <cell r="CB27">
            <v>0</v>
          </cell>
          <cell r="CC27">
            <v>0</v>
          </cell>
          <cell r="CD27">
            <v>0</v>
          </cell>
          <cell r="CE27" t="str">
            <v>Билалова</v>
          </cell>
        </row>
        <row r="28">
          <cell r="A28">
            <v>25</v>
          </cell>
          <cell r="B28" t="str">
            <v>Исследование первичной резистентности ВИЧ</v>
          </cell>
          <cell r="C28">
            <v>29372</v>
          </cell>
          <cell r="D28">
            <v>44859</v>
          </cell>
          <cell r="E28" t="str">
            <v>плазма</v>
          </cell>
          <cell r="F28" t="str">
            <v>женский</v>
          </cell>
          <cell r="G28">
            <v>29204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 t="str">
            <v>нет</v>
          </cell>
          <cell r="Q28">
            <v>0</v>
          </cell>
          <cell r="R28" t="str">
            <v>Тюмень</v>
          </cell>
          <cell r="S28" t="str">
            <v>Тюменская область</v>
          </cell>
          <cell r="T28" t="str">
            <v>Уральский</v>
          </cell>
          <cell r="U28" t="str">
            <v>Россия</v>
          </cell>
          <cell r="V28" t="str">
            <v>Тюменская область</v>
          </cell>
          <cell r="W28" t="str">
            <v>Россия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44862</v>
          </cell>
          <cell r="BQ28">
            <v>297334</v>
          </cell>
          <cell r="BR28" t="str">
            <v/>
          </cell>
          <cell r="BS28" t="str">
            <v/>
          </cell>
          <cell r="BT28">
            <v>44866</v>
          </cell>
          <cell r="BU28">
            <v>44873</v>
          </cell>
          <cell r="BV28">
            <v>700</v>
          </cell>
          <cell r="BW28">
            <v>700</v>
          </cell>
          <cell r="BX28">
            <v>44879</v>
          </cell>
          <cell r="BY28">
            <v>0</v>
          </cell>
          <cell r="BZ28">
            <v>1014</v>
          </cell>
          <cell r="CA28">
            <v>1014</v>
          </cell>
          <cell r="CB28">
            <v>44883</v>
          </cell>
          <cell r="CC28">
            <v>0</v>
          </cell>
          <cell r="CD28">
            <v>0</v>
          </cell>
          <cell r="CE28" t="str">
            <v/>
          </cell>
        </row>
        <row r="29">
          <cell r="A29">
            <v>26</v>
          </cell>
          <cell r="B29" t="str">
            <v>Вирусологическая неэффективность АРВТ</v>
          </cell>
          <cell r="C29">
            <v>14143</v>
          </cell>
          <cell r="D29">
            <v>44859</v>
          </cell>
          <cell r="E29" t="str">
            <v>плазма</v>
          </cell>
          <cell r="F29" t="str">
            <v>мужской</v>
          </cell>
          <cell r="G29">
            <v>30682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 t="str">
            <v>да</v>
          </cell>
          <cell r="Q29">
            <v>0</v>
          </cell>
          <cell r="R29" t="str">
            <v>Тюмень</v>
          </cell>
          <cell r="S29" t="str">
            <v>Тюменская область</v>
          </cell>
          <cell r="T29" t="str">
            <v>Уральский</v>
          </cell>
          <cell r="U29" t="str">
            <v>Россия</v>
          </cell>
          <cell r="V29" t="str">
            <v>Тюменская область</v>
          </cell>
          <cell r="W29" t="str">
            <v>Россия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44562</v>
          </cell>
          <cell r="AE29">
            <v>190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44862</v>
          </cell>
          <cell r="BQ29">
            <v>0</v>
          </cell>
          <cell r="BR29">
            <v>44866</v>
          </cell>
          <cell r="BS29">
            <v>96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CA29">
            <v>1060</v>
          </cell>
          <cell r="CB29">
            <v>44889</v>
          </cell>
          <cell r="CC29">
            <v>0</v>
          </cell>
          <cell r="CD29">
            <v>0</v>
          </cell>
          <cell r="CE29" t="str">
            <v/>
          </cell>
        </row>
        <row r="30">
          <cell r="A30">
            <v>27</v>
          </cell>
          <cell r="B30" t="str">
            <v>Исследование первичной резистентности ВИЧ</v>
          </cell>
          <cell r="C30">
            <v>14899</v>
          </cell>
          <cell r="D30">
            <v>44859</v>
          </cell>
          <cell r="E30" t="str">
            <v>плазма</v>
          </cell>
          <cell r="F30" t="str">
            <v>женский</v>
          </cell>
          <cell r="G30">
            <v>33573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 t="str">
            <v>нет</v>
          </cell>
          <cell r="Q30">
            <v>0</v>
          </cell>
          <cell r="R30" t="str">
            <v>Заводоуковск</v>
          </cell>
          <cell r="S30" t="str">
            <v>Тюменская область</v>
          </cell>
          <cell r="T30" t="str">
            <v>Уральский</v>
          </cell>
          <cell r="U30" t="str">
            <v>Россия</v>
          </cell>
          <cell r="V30" t="str">
            <v>Тюменская область</v>
          </cell>
          <cell r="W30" t="str">
            <v>Россия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44424</v>
          </cell>
          <cell r="AE30">
            <v>4460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44862</v>
          </cell>
          <cell r="BQ30">
            <v>25613</v>
          </cell>
          <cell r="BR30" t="str">
            <v/>
          </cell>
          <cell r="BS30" t="str">
            <v/>
          </cell>
          <cell r="BT30">
            <v>44866</v>
          </cell>
          <cell r="BU30">
            <v>44873</v>
          </cell>
          <cell r="BV30">
            <v>700</v>
          </cell>
          <cell r="BW30">
            <v>700</v>
          </cell>
          <cell r="BX30">
            <v>44879</v>
          </cell>
          <cell r="BY30">
            <v>0</v>
          </cell>
          <cell r="BZ30">
            <v>1015</v>
          </cell>
          <cell r="CA30">
            <v>1015</v>
          </cell>
          <cell r="CB30">
            <v>44883</v>
          </cell>
          <cell r="CC30">
            <v>0</v>
          </cell>
          <cell r="CD30">
            <v>0</v>
          </cell>
          <cell r="CE30" t="str">
            <v/>
          </cell>
        </row>
        <row r="31">
          <cell r="A31">
            <v>28</v>
          </cell>
          <cell r="B31" t="str">
            <v>Вирусологическая неэффективность АРВТ</v>
          </cell>
          <cell r="C31">
            <v>15836</v>
          </cell>
          <cell r="D31">
            <v>44859</v>
          </cell>
          <cell r="E31" t="str">
            <v>плазма</v>
          </cell>
          <cell r="F31" t="str">
            <v>мужской</v>
          </cell>
          <cell r="G31">
            <v>29063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 t="str">
            <v>да</v>
          </cell>
          <cell r="Q31">
            <v>0</v>
          </cell>
          <cell r="R31" t="str">
            <v>Тюмень</v>
          </cell>
          <cell r="S31" t="str">
            <v>Тюменская область</v>
          </cell>
          <cell r="T31" t="str">
            <v>Уральский</v>
          </cell>
          <cell r="U31" t="str">
            <v>Россия</v>
          </cell>
          <cell r="V31" t="str">
            <v>Тюменская область</v>
          </cell>
          <cell r="W31" t="str">
            <v>Россия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44837</v>
          </cell>
          <cell r="AE31">
            <v>65100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44862</v>
          </cell>
          <cell r="BQ31">
            <v>204560</v>
          </cell>
          <cell r="BR31" t="str">
            <v/>
          </cell>
          <cell r="BS31" t="str">
            <v/>
          </cell>
          <cell r="BT31">
            <v>44866</v>
          </cell>
          <cell r="BU31">
            <v>44873</v>
          </cell>
          <cell r="BV31">
            <v>700</v>
          </cell>
          <cell r="BW31">
            <v>700</v>
          </cell>
          <cell r="BX31">
            <v>44879</v>
          </cell>
          <cell r="BY31">
            <v>0</v>
          </cell>
          <cell r="BZ31">
            <v>1016</v>
          </cell>
          <cell r="CA31">
            <v>1016</v>
          </cell>
          <cell r="CB31">
            <v>44883</v>
          </cell>
          <cell r="CC31">
            <v>0</v>
          </cell>
          <cell r="CD31">
            <v>0</v>
          </cell>
          <cell r="CE31" t="str">
            <v/>
          </cell>
        </row>
        <row r="32">
          <cell r="A32">
            <v>29</v>
          </cell>
          <cell r="B32" t="str">
            <v>Вирусологическая неэффективность АРВТ</v>
          </cell>
          <cell r="C32">
            <v>112034</v>
          </cell>
          <cell r="D32">
            <v>44859</v>
          </cell>
          <cell r="E32" t="str">
            <v>плазма</v>
          </cell>
          <cell r="F32" t="str">
            <v>мужской</v>
          </cell>
          <cell r="G32">
            <v>33396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 t="str">
            <v>да</v>
          </cell>
          <cell r="Q32">
            <v>0</v>
          </cell>
          <cell r="R32" t="str">
            <v>Тюмень</v>
          </cell>
          <cell r="S32" t="str">
            <v>Тюменская область</v>
          </cell>
          <cell r="T32" t="str">
            <v>Уральский</v>
          </cell>
          <cell r="U32" t="str">
            <v>Россия</v>
          </cell>
          <cell r="V32" t="str">
            <v>Тюменская область</v>
          </cell>
          <cell r="W32" t="str">
            <v>Россия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44834</v>
          </cell>
          <cell r="AE32">
            <v>130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44862</v>
          </cell>
          <cell r="BQ32">
            <v>0</v>
          </cell>
          <cell r="BR32">
            <v>44866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CA32">
            <v>1061</v>
          </cell>
          <cell r="CB32">
            <v>0</v>
          </cell>
          <cell r="CC32">
            <v>0</v>
          </cell>
          <cell r="CD32">
            <v>0</v>
          </cell>
          <cell r="CE32" t="str">
            <v>Билалова</v>
          </cell>
        </row>
        <row r="33">
          <cell r="A33">
            <v>30</v>
          </cell>
          <cell r="B33" t="str">
            <v>Вирусологическая неэффективность АРВТ</v>
          </cell>
          <cell r="C33">
            <v>9136</v>
          </cell>
          <cell r="D33">
            <v>44859</v>
          </cell>
          <cell r="E33" t="str">
            <v>плазма</v>
          </cell>
          <cell r="F33" t="str">
            <v>женский</v>
          </cell>
          <cell r="G33">
            <v>30160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 t="str">
            <v>да</v>
          </cell>
          <cell r="Q33">
            <v>0</v>
          </cell>
          <cell r="R33" t="str">
            <v>Тюмень</v>
          </cell>
          <cell r="S33" t="str">
            <v>Тюменская область</v>
          </cell>
          <cell r="T33" t="str">
            <v>Уральский</v>
          </cell>
          <cell r="U33" t="str">
            <v>Россия</v>
          </cell>
          <cell r="V33" t="str">
            <v>Тюменская область</v>
          </cell>
          <cell r="W33" t="str">
            <v>Россия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44768</v>
          </cell>
          <cell r="AE33">
            <v>250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44862</v>
          </cell>
          <cell r="BQ33">
            <v>0</v>
          </cell>
          <cell r="BR33">
            <v>44866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CA33">
            <v>1062</v>
          </cell>
          <cell r="CB33">
            <v>0</v>
          </cell>
          <cell r="CC33">
            <v>0</v>
          </cell>
          <cell r="CD33">
            <v>0</v>
          </cell>
          <cell r="CE33" t="str">
            <v>Билалова</v>
          </cell>
        </row>
        <row r="34">
          <cell r="A34">
            <v>31</v>
          </cell>
          <cell r="B34" t="str">
            <v>Исследование первичной резистентности ВИЧ</v>
          </cell>
          <cell r="C34">
            <v>26570</v>
          </cell>
          <cell r="D34">
            <v>44859</v>
          </cell>
          <cell r="E34" t="str">
            <v>плазма</v>
          </cell>
          <cell r="F34" t="str">
            <v>мужской</v>
          </cell>
          <cell r="G34">
            <v>27340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 t="str">
            <v>нет</v>
          </cell>
          <cell r="Q34">
            <v>0</v>
          </cell>
          <cell r="R34" t="str">
            <v>Тюмень</v>
          </cell>
          <cell r="S34" t="str">
            <v>Тюменская область</v>
          </cell>
          <cell r="T34" t="str">
            <v>Уральский</v>
          </cell>
          <cell r="U34" t="str">
            <v>Россия</v>
          </cell>
          <cell r="V34" t="str">
            <v>Тюменская область</v>
          </cell>
          <cell r="W34" t="str">
            <v>Россия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44523</v>
          </cell>
          <cell r="AE34">
            <v>14000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44862</v>
          </cell>
          <cell r="BQ34">
            <v>15386</v>
          </cell>
          <cell r="BR34" t="str">
            <v/>
          </cell>
          <cell r="BS34" t="str">
            <v/>
          </cell>
          <cell r="BT34">
            <v>44866</v>
          </cell>
          <cell r="BU34">
            <v>44873</v>
          </cell>
          <cell r="BV34">
            <v>700</v>
          </cell>
          <cell r="BW34">
            <v>700</v>
          </cell>
          <cell r="BX34">
            <v>44879</v>
          </cell>
          <cell r="BY34">
            <v>0</v>
          </cell>
          <cell r="BZ34">
            <v>1017</v>
          </cell>
          <cell r="CA34">
            <v>1017</v>
          </cell>
          <cell r="CB34">
            <v>44883</v>
          </cell>
          <cell r="CC34">
            <v>0</v>
          </cell>
          <cell r="CD34">
            <v>0</v>
          </cell>
          <cell r="CE34" t="str">
            <v/>
          </cell>
        </row>
        <row r="35">
          <cell r="A35">
            <v>32</v>
          </cell>
          <cell r="B35" t="str">
            <v>Вирусологическая неэффективность АРВТ</v>
          </cell>
          <cell r="C35" t="str">
            <v>_6/2295</v>
          </cell>
          <cell r="D35">
            <v>44859</v>
          </cell>
          <cell r="E35" t="str">
            <v>плазма</v>
          </cell>
          <cell r="F35" t="str">
            <v>женский</v>
          </cell>
          <cell r="G35">
            <v>30162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 t="str">
            <v>да</v>
          </cell>
          <cell r="Q35">
            <v>0</v>
          </cell>
          <cell r="R35" t="str">
            <v>Омутнинск</v>
          </cell>
          <cell r="S35" t="str">
            <v>Тюменская область</v>
          </cell>
          <cell r="T35" t="str">
            <v>Уральский</v>
          </cell>
          <cell r="U35" t="str">
            <v>Россия</v>
          </cell>
          <cell r="V35" t="str">
            <v>Тюменская область</v>
          </cell>
          <cell r="W35" t="str">
            <v>Россия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44862</v>
          </cell>
          <cell r="BQ35">
            <v>1023213</v>
          </cell>
          <cell r="BR35" t="str">
            <v/>
          </cell>
          <cell r="BS35" t="str">
            <v/>
          </cell>
          <cell r="BT35">
            <v>44866</v>
          </cell>
          <cell r="BU35">
            <v>44873</v>
          </cell>
          <cell r="BV35">
            <v>700</v>
          </cell>
          <cell r="BW35">
            <v>700</v>
          </cell>
          <cell r="BX35">
            <v>44879</v>
          </cell>
          <cell r="BY35">
            <v>0</v>
          </cell>
          <cell r="BZ35">
            <v>1018</v>
          </cell>
          <cell r="CA35">
            <v>1018</v>
          </cell>
          <cell r="CB35">
            <v>44888</v>
          </cell>
          <cell r="CC35">
            <v>0</v>
          </cell>
          <cell r="CD35">
            <v>0</v>
          </cell>
          <cell r="CE35" t="str">
            <v/>
          </cell>
        </row>
        <row r="36">
          <cell r="A36">
            <v>33</v>
          </cell>
          <cell r="B36" t="str">
            <v>Вирусологическая неэффективность АРВТ</v>
          </cell>
          <cell r="C36">
            <v>27608</v>
          </cell>
          <cell r="D36">
            <v>44859</v>
          </cell>
          <cell r="E36" t="str">
            <v>плазма</v>
          </cell>
          <cell r="F36" t="str">
            <v>мужской</v>
          </cell>
          <cell r="G36">
            <v>31173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 t="str">
            <v>да</v>
          </cell>
          <cell r="Q36">
            <v>0</v>
          </cell>
          <cell r="R36" t="str">
            <v>Тюмень</v>
          </cell>
          <cell r="S36" t="str">
            <v>Тюменская область</v>
          </cell>
          <cell r="T36" t="str">
            <v>Уральский</v>
          </cell>
          <cell r="U36" t="str">
            <v>Россия</v>
          </cell>
          <cell r="V36" t="str">
            <v>Тюменская область</v>
          </cell>
          <cell r="W36" t="str">
            <v>Россия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44711</v>
          </cell>
          <cell r="AE36">
            <v>13300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44862</v>
          </cell>
          <cell r="BQ36">
            <v>0</v>
          </cell>
          <cell r="BR36">
            <v>44866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CA36">
            <v>1063</v>
          </cell>
          <cell r="CB36">
            <v>0</v>
          </cell>
          <cell r="CC36">
            <v>0</v>
          </cell>
          <cell r="CD36">
            <v>0</v>
          </cell>
          <cell r="CE36" t="str">
            <v>Четверкина</v>
          </cell>
        </row>
        <row r="37">
          <cell r="A37">
            <v>34</v>
          </cell>
          <cell r="B37" t="str">
            <v>Вирусологическая неэффективность АРВТ</v>
          </cell>
          <cell r="C37">
            <v>21432</v>
          </cell>
          <cell r="D37">
            <v>44859</v>
          </cell>
          <cell r="E37" t="str">
            <v>плазма</v>
          </cell>
          <cell r="F37" t="str">
            <v>мужской</v>
          </cell>
          <cell r="G37">
            <v>29672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 t="str">
            <v>да</v>
          </cell>
          <cell r="Q37">
            <v>0</v>
          </cell>
          <cell r="R37" t="str">
            <v>Тюмень</v>
          </cell>
          <cell r="S37" t="str">
            <v>Тюменская область</v>
          </cell>
          <cell r="T37" t="str">
            <v>Уральский</v>
          </cell>
          <cell r="U37" t="str">
            <v>Россия</v>
          </cell>
          <cell r="V37" t="str">
            <v>Тюменская область</v>
          </cell>
          <cell r="W37" t="str">
            <v>Россия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44862</v>
          </cell>
          <cell r="BQ37">
            <v>0</v>
          </cell>
          <cell r="BR37">
            <v>44866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CA37">
            <v>1064</v>
          </cell>
          <cell r="CB37">
            <v>0</v>
          </cell>
          <cell r="CC37">
            <v>0</v>
          </cell>
          <cell r="CD37">
            <v>0</v>
          </cell>
          <cell r="CE37" t="str">
            <v>Четверкина</v>
          </cell>
        </row>
        <row r="38">
          <cell r="A38">
            <v>35</v>
          </cell>
          <cell r="B38" t="str">
            <v>Вирусологическая неэффективность АРВТ</v>
          </cell>
          <cell r="C38">
            <v>10916</v>
          </cell>
          <cell r="D38">
            <v>44859</v>
          </cell>
          <cell r="E38" t="str">
            <v>плазма</v>
          </cell>
          <cell r="F38" t="str">
            <v>женский</v>
          </cell>
          <cell r="G38">
            <v>28143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 t="str">
            <v>да</v>
          </cell>
          <cell r="Q38">
            <v>0</v>
          </cell>
          <cell r="R38" t="str">
            <v>Тюмень</v>
          </cell>
          <cell r="S38" t="str">
            <v>Тюменская область</v>
          </cell>
          <cell r="T38" t="str">
            <v>Уральский</v>
          </cell>
          <cell r="U38" t="str">
            <v>Россия</v>
          </cell>
          <cell r="V38" t="str">
            <v>Тюменская область</v>
          </cell>
          <cell r="W38" t="str">
            <v>Россия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44713</v>
          </cell>
          <cell r="AE38">
            <v>1460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44862</v>
          </cell>
          <cell r="BQ38">
            <v>0</v>
          </cell>
          <cell r="BR38">
            <v>44866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CA38">
            <v>1065</v>
          </cell>
          <cell r="CB38">
            <v>0</v>
          </cell>
          <cell r="CC38">
            <v>0</v>
          </cell>
          <cell r="CD38">
            <v>0</v>
          </cell>
          <cell r="CE38" t="str">
            <v>Четверкина</v>
          </cell>
        </row>
        <row r="39">
          <cell r="A39">
            <v>36</v>
          </cell>
          <cell r="B39" t="str">
            <v>Вирусологическая неэффективность АРВТ</v>
          </cell>
          <cell r="C39" t="str">
            <v>_6/3043</v>
          </cell>
          <cell r="D39">
            <v>44859</v>
          </cell>
          <cell r="E39" t="str">
            <v>плазма</v>
          </cell>
          <cell r="F39" t="str">
            <v>женский</v>
          </cell>
          <cell r="G39">
            <v>34163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 t="str">
            <v>да</v>
          </cell>
          <cell r="Q39">
            <v>0</v>
          </cell>
          <cell r="R39" t="str">
            <v>Тюмень</v>
          </cell>
          <cell r="S39" t="str">
            <v>Тюменская область</v>
          </cell>
          <cell r="T39" t="str">
            <v>Уральский</v>
          </cell>
          <cell r="U39" t="str">
            <v>Россия</v>
          </cell>
          <cell r="V39" t="str">
            <v>Тюменская область</v>
          </cell>
          <cell r="W39" t="str">
            <v>Россия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44650</v>
          </cell>
          <cell r="AE39">
            <v>990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44862</v>
          </cell>
          <cell r="BQ39">
            <v>0</v>
          </cell>
          <cell r="BR39">
            <v>44866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CA39">
            <v>1066</v>
          </cell>
          <cell r="CB39">
            <v>0</v>
          </cell>
          <cell r="CC39">
            <v>0</v>
          </cell>
          <cell r="CD39">
            <v>0</v>
          </cell>
          <cell r="CE39" t="str">
            <v>Четверкина</v>
          </cell>
        </row>
        <row r="40">
          <cell r="A40">
            <v>37</v>
          </cell>
          <cell r="B40" t="str">
            <v>Вирусологическая неэффективность АРВТ</v>
          </cell>
          <cell r="C40">
            <v>11578</v>
          </cell>
          <cell r="D40">
            <v>44859</v>
          </cell>
          <cell r="E40" t="str">
            <v>плазма</v>
          </cell>
          <cell r="F40" t="str">
            <v>женский</v>
          </cell>
          <cell r="G40">
            <v>31778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 t="str">
            <v>да</v>
          </cell>
          <cell r="Q40">
            <v>0</v>
          </cell>
          <cell r="R40" t="str">
            <v>Тюмень</v>
          </cell>
          <cell r="S40" t="str">
            <v>Тюменская область</v>
          </cell>
          <cell r="T40" t="str">
            <v>Уральский</v>
          </cell>
          <cell r="U40" t="str">
            <v>Россия</v>
          </cell>
          <cell r="V40" t="str">
            <v>Тюменская область</v>
          </cell>
          <cell r="W40" t="str">
            <v>Россия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44859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44862</v>
          </cell>
          <cell r="BQ40">
            <v>0</v>
          </cell>
          <cell r="BR40">
            <v>44866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CA40">
            <v>1067</v>
          </cell>
          <cell r="CB40">
            <v>0</v>
          </cell>
          <cell r="CC40">
            <v>0</v>
          </cell>
          <cell r="CD40">
            <v>0</v>
          </cell>
          <cell r="CE40" t="str">
            <v>Четверкина</v>
          </cell>
        </row>
        <row r="41">
          <cell r="A41">
            <v>38</v>
          </cell>
          <cell r="B41" t="str">
            <v>Вирусологическая неэффективность АРВТ</v>
          </cell>
          <cell r="C41">
            <v>29198</v>
          </cell>
          <cell r="D41">
            <v>44859</v>
          </cell>
          <cell r="E41" t="str">
            <v>плазма</v>
          </cell>
          <cell r="F41" t="str">
            <v>мужской</v>
          </cell>
          <cell r="G41">
            <v>23257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 t="str">
            <v>да</v>
          </cell>
          <cell r="Q41">
            <v>0</v>
          </cell>
          <cell r="R41" t="str">
            <v>Тюмень</v>
          </cell>
          <cell r="S41" t="str">
            <v>Тюменская область</v>
          </cell>
          <cell r="T41" t="str">
            <v>Уральский</v>
          </cell>
          <cell r="U41" t="str">
            <v>Россия</v>
          </cell>
          <cell r="V41" t="str">
            <v>Тюменская область</v>
          </cell>
          <cell r="W41" t="str">
            <v>Россия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44818</v>
          </cell>
          <cell r="AE41">
            <v>23800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44862</v>
          </cell>
          <cell r="BQ41">
            <v>1051</v>
          </cell>
          <cell r="BR41" t="str">
            <v/>
          </cell>
          <cell r="BS41" t="str">
            <v/>
          </cell>
          <cell r="BT41">
            <v>44866</v>
          </cell>
          <cell r="BU41">
            <v>44873</v>
          </cell>
          <cell r="BV41">
            <v>700</v>
          </cell>
          <cell r="BW41">
            <v>700</v>
          </cell>
          <cell r="BX41">
            <v>44879</v>
          </cell>
          <cell r="BY41">
            <v>0</v>
          </cell>
          <cell r="BZ41">
            <v>1019</v>
          </cell>
          <cell r="CA41">
            <v>1019</v>
          </cell>
          <cell r="CB41">
            <v>44883</v>
          </cell>
          <cell r="CC41">
            <v>0</v>
          </cell>
          <cell r="CD41">
            <v>0</v>
          </cell>
          <cell r="CE41" t="str">
            <v/>
          </cell>
        </row>
        <row r="42">
          <cell r="A42">
            <v>39</v>
          </cell>
          <cell r="B42" t="str">
            <v>Вирусологическая неэффективность АРВТ</v>
          </cell>
          <cell r="C42">
            <v>21378</v>
          </cell>
          <cell r="D42">
            <v>44859</v>
          </cell>
          <cell r="E42" t="str">
            <v>плазма</v>
          </cell>
          <cell r="F42" t="str">
            <v>женский</v>
          </cell>
          <cell r="G42">
            <v>33094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 t="str">
            <v>да</v>
          </cell>
          <cell r="Q42">
            <v>0</v>
          </cell>
          <cell r="R42" t="str">
            <v>Тюмень</v>
          </cell>
          <cell r="S42" t="str">
            <v>Тюменская область</v>
          </cell>
          <cell r="T42" t="str">
            <v>Уральский</v>
          </cell>
          <cell r="U42" t="str">
            <v>Россия</v>
          </cell>
          <cell r="V42" t="str">
            <v>Тюменская область</v>
          </cell>
          <cell r="W42" t="str">
            <v>Россия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44833</v>
          </cell>
          <cell r="AE42">
            <v>105000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44862</v>
          </cell>
          <cell r="BQ42">
            <v>8107</v>
          </cell>
          <cell r="BR42" t="str">
            <v/>
          </cell>
          <cell r="BS42" t="str">
            <v/>
          </cell>
          <cell r="BT42">
            <v>44866</v>
          </cell>
          <cell r="BU42">
            <v>44873</v>
          </cell>
          <cell r="BV42">
            <v>700</v>
          </cell>
          <cell r="BW42">
            <v>700</v>
          </cell>
          <cell r="BX42">
            <v>44879</v>
          </cell>
          <cell r="BY42">
            <v>0</v>
          </cell>
          <cell r="BZ42">
            <v>1020</v>
          </cell>
          <cell r="CA42">
            <v>1020</v>
          </cell>
          <cell r="CB42">
            <v>0</v>
          </cell>
          <cell r="CC42" t="str">
            <v>нет r1-r4</v>
          </cell>
          <cell r="CD42">
            <v>0</v>
          </cell>
          <cell r="CE42" t="str">
            <v/>
          </cell>
        </row>
        <row r="43">
          <cell r="A43">
            <v>40</v>
          </cell>
          <cell r="B43" t="str">
            <v>Вирусологическая неэффективность АРВТ</v>
          </cell>
          <cell r="C43">
            <v>29233</v>
          </cell>
          <cell r="D43">
            <v>44859</v>
          </cell>
          <cell r="E43" t="str">
            <v>плазма</v>
          </cell>
          <cell r="F43" t="str">
            <v>мужской</v>
          </cell>
          <cell r="G43">
            <v>27818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 t="str">
            <v>да</v>
          </cell>
          <cell r="Q43">
            <v>0</v>
          </cell>
          <cell r="R43" t="str">
            <v>Тюмень</v>
          </cell>
          <cell r="S43" t="str">
            <v>Тюменская область</v>
          </cell>
          <cell r="T43" t="str">
            <v>Уральский</v>
          </cell>
          <cell r="U43" t="str">
            <v>Россия</v>
          </cell>
          <cell r="V43" t="str">
            <v>Тюменская область</v>
          </cell>
          <cell r="W43" t="str">
            <v>Россия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44838</v>
          </cell>
          <cell r="AE43">
            <v>5100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44862</v>
          </cell>
          <cell r="BQ43">
            <v>0</v>
          </cell>
          <cell r="BR43">
            <v>44866</v>
          </cell>
          <cell r="BS43">
            <v>56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CA43">
            <v>1068</v>
          </cell>
          <cell r="CB43">
            <v>0</v>
          </cell>
          <cell r="CC43">
            <v>0</v>
          </cell>
          <cell r="CD43">
            <v>0</v>
          </cell>
          <cell r="CE43" t="str">
            <v>Билалова</v>
          </cell>
        </row>
        <row r="44">
          <cell r="A44">
            <v>41</v>
          </cell>
          <cell r="B44" t="str">
            <v>Вирусологическая неэффективность АРВТ</v>
          </cell>
          <cell r="C44">
            <v>27756</v>
          </cell>
          <cell r="D44">
            <v>44859</v>
          </cell>
          <cell r="E44" t="str">
            <v>плазма</v>
          </cell>
          <cell r="F44" t="str">
            <v>мужской</v>
          </cell>
          <cell r="G44">
            <v>27365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 t="str">
            <v>да</v>
          </cell>
          <cell r="Q44">
            <v>0</v>
          </cell>
          <cell r="R44" t="str">
            <v>Тюмень</v>
          </cell>
          <cell r="S44" t="str">
            <v>Тюменская область</v>
          </cell>
          <cell r="T44" t="str">
            <v>Уральский</v>
          </cell>
          <cell r="U44" t="str">
            <v>Россия</v>
          </cell>
          <cell r="V44" t="str">
            <v>Тюменская область</v>
          </cell>
          <cell r="W44" t="str">
            <v>Россия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44841</v>
          </cell>
          <cell r="AE44">
            <v>1900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44862</v>
          </cell>
          <cell r="BQ44">
            <v>285</v>
          </cell>
          <cell r="BR44" t="str">
            <v/>
          </cell>
          <cell r="BS44" t="str">
            <v/>
          </cell>
          <cell r="BT44">
            <v>44866</v>
          </cell>
          <cell r="BU44">
            <v>44873</v>
          </cell>
          <cell r="BV44">
            <v>700</v>
          </cell>
          <cell r="BW44">
            <v>700</v>
          </cell>
          <cell r="BX44">
            <v>44879</v>
          </cell>
          <cell r="BY44">
            <v>0</v>
          </cell>
          <cell r="BZ44">
            <v>1021</v>
          </cell>
          <cell r="CA44">
            <v>1021</v>
          </cell>
          <cell r="CB44">
            <v>44888</v>
          </cell>
          <cell r="CC44">
            <v>0</v>
          </cell>
          <cell r="CD44">
            <v>0</v>
          </cell>
          <cell r="CE44" t="str">
            <v/>
          </cell>
        </row>
        <row r="45">
          <cell r="A45">
            <v>42</v>
          </cell>
          <cell r="B45" t="str">
            <v>Вирусологическая неэффективность АРВТ</v>
          </cell>
          <cell r="C45" t="str">
            <v>_6/4024</v>
          </cell>
          <cell r="D45">
            <v>44859</v>
          </cell>
          <cell r="E45" t="str">
            <v>плазма</v>
          </cell>
          <cell r="F45" t="str">
            <v>женский</v>
          </cell>
          <cell r="G45">
            <v>30029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 t="str">
            <v>да</v>
          </cell>
          <cell r="Q45">
            <v>0</v>
          </cell>
          <cell r="R45" t="str">
            <v>Тюмень</v>
          </cell>
          <cell r="S45" t="str">
            <v>Тюменская область</v>
          </cell>
          <cell r="T45" t="str">
            <v>Уральский</v>
          </cell>
          <cell r="U45" t="str">
            <v>Россия</v>
          </cell>
          <cell r="V45" t="str">
            <v>Тюменская область</v>
          </cell>
          <cell r="W45" t="str">
            <v>Россия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44848</v>
          </cell>
          <cell r="AE45">
            <v>1740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44862</v>
          </cell>
          <cell r="BQ45">
            <v>0</v>
          </cell>
          <cell r="BR45">
            <v>44866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1069</v>
          </cell>
          <cell r="CB45">
            <v>0</v>
          </cell>
          <cell r="CC45">
            <v>0</v>
          </cell>
          <cell r="CD45">
            <v>0</v>
          </cell>
          <cell r="CE45" t="str">
            <v>Четверкина</v>
          </cell>
        </row>
        <row r="46">
          <cell r="A46">
            <v>43</v>
          </cell>
          <cell r="B46" t="str">
            <v>Вирусологическая неэффективность АРВТ</v>
          </cell>
          <cell r="C46">
            <v>15250</v>
          </cell>
          <cell r="D46">
            <v>44859</v>
          </cell>
          <cell r="E46" t="str">
            <v>плазма</v>
          </cell>
          <cell r="F46" t="str">
            <v>мужской</v>
          </cell>
          <cell r="G46">
            <v>34419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 t="str">
            <v>да</v>
          </cell>
          <cell r="Q46">
            <v>0</v>
          </cell>
          <cell r="R46" t="str">
            <v>Тюмень</v>
          </cell>
          <cell r="S46" t="str">
            <v>Тюменская область</v>
          </cell>
          <cell r="T46" t="str">
            <v>Уральский</v>
          </cell>
          <cell r="U46" t="str">
            <v>Россия</v>
          </cell>
          <cell r="V46" t="str">
            <v>Тюменская область</v>
          </cell>
          <cell r="W46" t="str">
            <v>Россия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44841</v>
          </cell>
          <cell r="AE46">
            <v>14000000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44862</v>
          </cell>
          <cell r="BQ46">
            <v>21709</v>
          </cell>
          <cell r="BR46" t="str">
            <v/>
          </cell>
          <cell r="BS46" t="str">
            <v/>
          </cell>
          <cell r="BT46">
            <v>44866</v>
          </cell>
          <cell r="BU46">
            <v>44873</v>
          </cell>
          <cell r="BV46">
            <v>700</v>
          </cell>
          <cell r="BW46">
            <v>700</v>
          </cell>
          <cell r="BX46">
            <v>0</v>
          </cell>
          <cell r="BY46">
            <v>0</v>
          </cell>
          <cell r="BZ46">
            <v>0</v>
          </cell>
          <cell r="CA46">
            <v>1029</v>
          </cell>
          <cell r="CB46">
            <v>44889</v>
          </cell>
          <cell r="CC46">
            <v>0</v>
          </cell>
          <cell r="CD46" t="str">
            <v>Билалова</v>
          </cell>
          <cell r="CE46" t="str">
            <v/>
          </cell>
        </row>
        <row r="47">
          <cell r="A47">
            <v>44</v>
          </cell>
          <cell r="B47" t="str">
            <v>Вирусологическая неэффективность АРВТ</v>
          </cell>
          <cell r="C47">
            <v>19529</v>
          </cell>
          <cell r="D47">
            <v>44859</v>
          </cell>
          <cell r="E47" t="str">
            <v>плазма</v>
          </cell>
          <cell r="F47" t="str">
            <v>женский</v>
          </cell>
          <cell r="G47">
            <v>25415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 t="str">
            <v>да</v>
          </cell>
          <cell r="Q47">
            <v>0</v>
          </cell>
          <cell r="R47" t="str">
            <v>Тюмень</v>
          </cell>
          <cell r="S47" t="str">
            <v>Тюменская область</v>
          </cell>
          <cell r="T47" t="str">
            <v>Уральский</v>
          </cell>
          <cell r="U47" t="str">
            <v>Россия</v>
          </cell>
          <cell r="V47" t="str">
            <v>Тюменская область</v>
          </cell>
          <cell r="W47" t="str">
            <v>Россия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44832</v>
          </cell>
          <cell r="AE47">
            <v>7600000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44862</v>
          </cell>
          <cell r="BQ47">
            <v>2684381</v>
          </cell>
          <cell r="BR47" t="str">
            <v/>
          </cell>
          <cell r="BS47" t="str">
            <v/>
          </cell>
          <cell r="BT47">
            <v>44866</v>
          </cell>
          <cell r="BU47">
            <v>44873</v>
          </cell>
          <cell r="BV47">
            <v>700</v>
          </cell>
          <cell r="BW47">
            <v>700</v>
          </cell>
          <cell r="BX47">
            <v>0</v>
          </cell>
          <cell r="BY47">
            <v>0</v>
          </cell>
          <cell r="BZ47">
            <v>0</v>
          </cell>
          <cell r="CA47">
            <v>1030</v>
          </cell>
          <cell r="CB47">
            <v>44889</v>
          </cell>
          <cell r="CC47">
            <v>0</v>
          </cell>
          <cell r="CD47" t="str">
            <v>Билалова</v>
          </cell>
          <cell r="CE47" t="str">
            <v/>
          </cell>
        </row>
        <row r="48">
          <cell r="A48">
            <v>45</v>
          </cell>
          <cell r="B48" t="str">
            <v>Вирусологическая неэффективность АРВТ</v>
          </cell>
          <cell r="C48">
            <v>3764</v>
          </cell>
          <cell r="D48">
            <v>44859</v>
          </cell>
          <cell r="E48" t="str">
            <v>плазма</v>
          </cell>
          <cell r="F48" t="str">
            <v>женский</v>
          </cell>
          <cell r="G48">
            <v>29018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 t="str">
            <v>да</v>
          </cell>
          <cell r="Q48">
            <v>0</v>
          </cell>
          <cell r="R48" t="str">
            <v>Тюмень</v>
          </cell>
          <cell r="S48" t="str">
            <v>Тюменская область</v>
          </cell>
          <cell r="T48" t="str">
            <v>Уральский</v>
          </cell>
          <cell r="U48" t="str">
            <v>Россия</v>
          </cell>
          <cell r="V48" t="str">
            <v>Тюменская область</v>
          </cell>
          <cell r="W48" t="str">
            <v>Россия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44841</v>
          </cell>
          <cell r="AE48">
            <v>5640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44862</v>
          </cell>
          <cell r="BQ48">
            <v>23568</v>
          </cell>
          <cell r="BR48" t="str">
            <v/>
          </cell>
          <cell r="BS48" t="str">
            <v/>
          </cell>
          <cell r="BT48">
            <v>44866</v>
          </cell>
          <cell r="BU48">
            <v>44873</v>
          </cell>
          <cell r="BV48">
            <v>700</v>
          </cell>
          <cell r="BW48">
            <v>700</v>
          </cell>
          <cell r="BX48">
            <v>0</v>
          </cell>
          <cell r="BY48">
            <v>0</v>
          </cell>
          <cell r="CA48">
            <v>1031</v>
          </cell>
          <cell r="CB48">
            <v>44889</v>
          </cell>
          <cell r="CC48">
            <v>0</v>
          </cell>
          <cell r="CD48" t="str">
            <v>Билалова</v>
          </cell>
          <cell r="CE48" t="str">
            <v/>
          </cell>
        </row>
        <row r="49">
          <cell r="A49">
            <v>46</v>
          </cell>
          <cell r="B49" t="str">
            <v>Вирусологическая неэффективность АРВТ</v>
          </cell>
          <cell r="C49">
            <v>6962</v>
          </cell>
          <cell r="D49">
            <v>44859</v>
          </cell>
          <cell r="E49" t="str">
            <v>плазма</v>
          </cell>
          <cell r="F49" t="str">
            <v>женский</v>
          </cell>
          <cell r="G49">
            <v>30238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 t="str">
            <v>да</v>
          </cell>
          <cell r="Q49">
            <v>0</v>
          </cell>
          <cell r="R49" t="str">
            <v>Тюмень</v>
          </cell>
          <cell r="S49" t="str">
            <v>Тюменская область</v>
          </cell>
          <cell r="T49" t="str">
            <v>Уральский</v>
          </cell>
          <cell r="U49" t="str">
            <v>Россия</v>
          </cell>
          <cell r="V49" t="str">
            <v>Тюменская область</v>
          </cell>
          <cell r="W49" t="str">
            <v>Россия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44851</v>
          </cell>
          <cell r="AE49">
            <v>570000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44862</v>
          </cell>
          <cell r="BQ49">
            <v>307346</v>
          </cell>
          <cell r="BR49" t="str">
            <v/>
          </cell>
          <cell r="BS49" t="str">
            <v/>
          </cell>
          <cell r="BT49">
            <v>44866</v>
          </cell>
          <cell r="BU49">
            <v>44873</v>
          </cell>
          <cell r="BV49">
            <v>700</v>
          </cell>
          <cell r="BW49">
            <v>700</v>
          </cell>
          <cell r="BX49">
            <v>0</v>
          </cell>
          <cell r="BY49">
            <v>0</v>
          </cell>
          <cell r="CA49">
            <v>1032</v>
          </cell>
          <cell r="CB49">
            <v>44889</v>
          </cell>
          <cell r="CC49">
            <v>0</v>
          </cell>
          <cell r="CD49">
            <v>0</v>
          </cell>
          <cell r="CE49" t="str">
            <v/>
          </cell>
        </row>
        <row r="50">
          <cell r="A50">
            <v>47</v>
          </cell>
          <cell r="B50" t="str">
            <v>Вирусологическая неэффективность АРВТ</v>
          </cell>
          <cell r="C50">
            <v>23295</v>
          </cell>
          <cell r="D50">
            <v>44859</v>
          </cell>
          <cell r="E50" t="str">
            <v>плазма</v>
          </cell>
          <cell r="F50" t="str">
            <v>женский</v>
          </cell>
          <cell r="G50">
            <v>31927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 t="str">
            <v>да</v>
          </cell>
          <cell r="Q50">
            <v>0</v>
          </cell>
          <cell r="R50" t="str">
            <v>Тюмень</v>
          </cell>
          <cell r="S50" t="str">
            <v>Тюменская область</v>
          </cell>
          <cell r="T50" t="str">
            <v>Уральский</v>
          </cell>
          <cell r="U50" t="str">
            <v>Россия</v>
          </cell>
          <cell r="V50" t="str">
            <v>Тюменская область</v>
          </cell>
          <cell r="W50" t="str">
            <v>Россия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44838</v>
          </cell>
          <cell r="AE50">
            <v>1270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 t="str">
            <v/>
          </cell>
          <cell r="BQ50" t="str">
            <v/>
          </cell>
          <cell r="BR50">
            <v>44866</v>
          </cell>
          <cell r="BS50">
            <v>283</v>
          </cell>
          <cell r="BT50">
            <v>44867</v>
          </cell>
          <cell r="BU50">
            <v>44872</v>
          </cell>
          <cell r="BV50">
            <v>700</v>
          </cell>
          <cell r="BW50">
            <v>700</v>
          </cell>
          <cell r="BX50">
            <v>0</v>
          </cell>
          <cell r="BY50">
            <v>0</v>
          </cell>
          <cell r="CA50">
            <v>1033</v>
          </cell>
          <cell r="CB50">
            <v>44889</v>
          </cell>
          <cell r="CC50">
            <v>0</v>
          </cell>
          <cell r="CD50">
            <v>0</v>
          </cell>
          <cell r="CE50" t="str">
            <v/>
          </cell>
        </row>
        <row r="51">
          <cell r="A51">
            <v>48</v>
          </cell>
          <cell r="B51" t="str">
            <v>Вирусологическая неэффективность АРВТ</v>
          </cell>
          <cell r="C51">
            <v>11234</v>
          </cell>
          <cell r="D51">
            <v>44859</v>
          </cell>
          <cell r="E51" t="str">
            <v>плазма</v>
          </cell>
          <cell r="F51" t="str">
            <v>мужской</v>
          </cell>
          <cell r="G51">
            <v>32474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 t="str">
            <v>да</v>
          </cell>
          <cell r="Q51">
            <v>0</v>
          </cell>
          <cell r="R51" t="str">
            <v>Тюмень</v>
          </cell>
          <cell r="S51" t="str">
            <v>Тюменская область</v>
          </cell>
          <cell r="T51" t="str">
            <v>Уральский</v>
          </cell>
          <cell r="U51" t="str">
            <v>Россия</v>
          </cell>
          <cell r="V51" t="str">
            <v>Тюменская область</v>
          </cell>
          <cell r="W51" t="str">
            <v>Россия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44846</v>
          </cell>
          <cell r="AE51">
            <v>26000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44862</v>
          </cell>
          <cell r="BQ51">
            <v>35439</v>
          </cell>
          <cell r="BR51" t="str">
            <v/>
          </cell>
          <cell r="BS51" t="str">
            <v/>
          </cell>
          <cell r="BT51">
            <v>44866</v>
          </cell>
          <cell r="BU51">
            <v>44873</v>
          </cell>
          <cell r="BV51">
            <v>700</v>
          </cell>
          <cell r="BW51">
            <v>700</v>
          </cell>
          <cell r="BX51">
            <v>0</v>
          </cell>
          <cell r="BY51">
            <v>0</v>
          </cell>
          <cell r="CA51">
            <v>1034</v>
          </cell>
          <cell r="CB51">
            <v>0</v>
          </cell>
          <cell r="CC51" t="str">
            <v>нетr2,p2</v>
          </cell>
          <cell r="CD51">
            <v>0</v>
          </cell>
          <cell r="CE51" t="str">
            <v/>
          </cell>
        </row>
        <row r="52">
          <cell r="A52">
            <v>49</v>
          </cell>
          <cell r="B52" t="str">
            <v>Вирусологическая неэффективность АРВТ</v>
          </cell>
          <cell r="C52">
            <v>23230</v>
          </cell>
          <cell r="D52">
            <v>44859</v>
          </cell>
          <cell r="E52" t="str">
            <v>плазма</v>
          </cell>
          <cell r="F52" t="str">
            <v>мужской</v>
          </cell>
          <cell r="G52">
            <v>29912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 t="str">
            <v>да</v>
          </cell>
          <cell r="Q52">
            <v>0</v>
          </cell>
          <cell r="R52" t="str">
            <v>Тюмень</v>
          </cell>
          <cell r="S52" t="str">
            <v>Тюменская область</v>
          </cell>
          <cell r="T52" t="str">
            <v>Уральский</v>
          </cell>
          <cell r="U52" t="str">
            <v>Россия</v>
          </cell>
          <cell r="V52" t="str">
            <v>Тюменская область</v>
          </cell>
          <cell r="W52" t="str">
            <v>Россия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44852</v>
          </cell>
          <cell r="AE52">
            <v>1900000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44862</v>
          </cell>
          <cell r="BQ52">
            <v>1857580</v>
          </cell>
          <cell r="BR52" t="str">
            <v/>
          </cell>
          <cell r="BS52" t="str">
            <v/>
          </cell>
          <cell r="BT52">
            <v>44866</v>
          </cell>
          <cell r="BU52">
            <v>44873</v>
          </cell>
          <cell r="BV52">
            <v>700</v>
          </cell>
          <cell r="BW52">
            <v>700</v>
          </cell>
          <cell r="BX52">
            <v>0</v>
          </cell>
          <cell r="BY52">
            <v>0</v>
          </cell>
          <cell r="CA52">
            <v>1035</v>
          </cell>
          <cell r="CB52">
            <v>44889</v>
          </cell>
          <cell r="CC52">
            <v>0</v>
          </cell>
          <cell r="CD52" t="str">
            <v>Мартынов Ю</v>
          </cell>
          <cell r="CE52" t="str">
            <v/>
          </cell>
        </row>
        <row r="53">
          <cell r="A53">
            <v>50</v>
          </cell>
          <cell r="B53" t="str">
            <v>Вирусологическая неэффективность АРВТ</v>
          </cell>
          <cell r="C53">
            <v>9063</v>
          </cell>
          <cell r="D53">
            <v>44859</v>
          </cell>
          <cell r="E53" t="str">
            <v>плазма</v>
          </cell>
          <cell r="F53" t="str">
            <v>мужской</v>
          </cell>
          <cell r="G53">
            <v>22704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 t="str">
            <v>да</v>
          </cell>
          <cell r="Q53">
            <v>0</v>
          </cell>
          <cell r="R53" t="str">
            <v>Тюмень</v>
          </cell>
          <cell r="S53" t="str">
            <v>Тюменская область</v>
          </cell>
          <cell r="T53" t="str">
            <v>Уральский</v>
          </cell>
          <cell r="U53" t="str">
            <v>Россия</v>
          </cell>
          <cell r="V53" t="str">
            <v>Тюменская область</v>
          </cell>
          <cell r="W53" t="str">
            <v>Россия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44832</v>
          </cell>
          <cell r="AE53">
            <v>3000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44862</v>
          </cell>
          <cell r="BQ53">
            <v>345</v>
          </cell>
          <cell r="BR53" t="str">
            <v/>
          </cell>
          <cell r="BS53" t="str">
            <v/>
          </cell>
          <cell r="BT53">
            <v>44866</v>
          </cell>
          <cell r="BU53">
            <v>44873</v>
          </cell>
          <cell r="BV53" t="str">
            <v>н</v>
          </cell>
          <cell r="BW53" t="str">
            <v>н</v>
          </cell>
          <cell r="BX53">
            <v>0</v>
          </cell>
          <cell r="BY53">
            <v>0</v>
          </cell>
          <cell r="CA53">
            <v>1052</v>
          </cell>
          <cell r="CB53">
            <v>0</v>
          </cell>
          <cell r="CC53" t="str">
            <v>не валид</v>
          </cell>
          <cell r="CD53">
            <v>0</v>
          </cell>
          <cell r="CE53" t="str">
            <v/>
          </cell>
        </row>
        <row r="54">
          <cell r="A54">
            <v>51</v>
          </cell>
          <cell r="B54" t="str">
            <v>Вирусологическая неэффективность АРВТ</v>
          </cell>
          <cell r="C54">
            <v>11088</v>
          </cell>
          <cell r="D54">
            <v>44859</v>
          </cell>
          <cell r="E54" t="str">
            <v>плазма</v>
          </cell>
          <cell r="F54" t="str">
            <v>женский</v>
          </cell>
          <cell r="G54">
            <v>28253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 t="str">
            <v>да</v>
          </cell>
          <cell r="Q54">
            <v>0</v>
          </cell>
          <cell r="R54" t="str">
            <v>Тюмень</v>
          </cell>
          <cell r="S54" t="str">
            <v>Тюменская область</v>
          </cell>
          <cell r="T54" t="str">
            <v>Уральский</v>
          </cell>
          <cell r="U54" t="str">
            <v>Россия</v>
          </cell>
          <cell r="V54" t="str">
            <v>Тюменская область</v>
          </cell>
          <cell r="W54" t="str">
            <v>Россия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44517</v>
          </cell>
          <cell r="AE54">
            <v>9000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44862</v>
          </cell>
          <cell r="BQ54">
            <v>0</v>
          </cell>
          <cell r="BR54">
            <v>44866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CA54">
            <v>1070</v>
          </cell>
          <cell r="CB54">
            <v>0</v>
          </cell>
          <cell r="CC54">
            <v>0</v>
          </cell>
          <cell r="CD54">
            <v>0</v>
          </cell>
          <cell r="CE54" t="str">
            <v>Четверкина</v>
          </cell>
        </row>
        <row r="55">
          <cell r="A55">
            <v>52</v>
          </cell>
          <cell r="B55" t="str">
            <v>Исследование первичной резистентности ВИЧ</v>
          </cell>
          <cell r="C55">
            <v>22286</v>
          </cell>
          <cell r="D55">
            <v>44859</v>
          </cell>
          <cell r="E55" t="str">
            <v>плазма</v>
          </cell>
          <cell r="F55" t="str">
            <v>мужской</v>
          </cell>
          <cell r="G55">
            <v>30865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 t="str">
            <v>нет</v>
          </cell>
          <cell r="Q55">
            <v>0</v>
          </cell>
          <cell r="R55" t="str">
            <v>Ялуторовск</v>
          </cell>
          <cell r="S55" t="str">
            <v>Тюменская область</v>
          </cell>
          <cell r="T55" t="str">
            <v>Уральский</v>
          </cell>
          <cell r="U55" t="str">
            <v>Россия</v>
          </cell>
          <cell r="V55" t="str">
            <v>Тюменская область</v>
          </cell>
          <cell r="W55" t="str">
            <v>Россия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44841</v>
          </cell>
          <cell r="AE55">
            <v>1200000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44862</v>
          </cell>
          <cell r="BQ55">
            <v>1464500</v>
          </cell>
          <cell r="BR55" t="str">
            <v/>
          </cell>
          <cell r="BS55" t="str">
            <v/>
          </cell>
          <cell r="BT55">
            <v>44866</v>
          </cell>
          <cell r="BU55">
            <v>44873</v>
          </cell>
          <cell r="BV55">
            <v>700</v>
          </cell>
          <cell r="BW55">
            <v>700</v>
          </cell>
          <cell r="BX55">
            <v>0</v>
          </cell>
          <cell r="BY55">
            <v>0</v>
          </cell>
          <cell r="CA55">
            <v>1036</v>
          </cell>
          <cell r="CB55">
            <v>0</v>
          </cell>
          <cell r="CC55" t="str">
            <v>нет r1-r4</v>
          </cell>
          <cell r="CD55">
            <v>0</v>
          </cell>
          <cell r="CE55" t="str">
            <v/>
          </cell>
        </row>
        <row r="56">
          <cell r="A56">
            <v>53</v>
          </cell>
          <cell r="B56" t="str">
            <v>Вирусологическая неэффективность АРВТ</v>
          </cell>
          <cell r="C56" t="str">
            <v>_6/3933</v>
          </cell>
          <cell r="D56">
            <v>44859</v>
          </cell>
          <cell r="E56" t="str">
            <v>плазма</v>
          </cell>
          <cell r="F56" t="str">
            <v>мужской</v>
          </cell>
          <cell r="G56">
            <v>34028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 t="str">
            <v>да</v>
          </cell>
          <cell r="Q56">
            <v>0</v>
          </cell>
          <cell r="R56" t="str">
            <v>Тюмень</v>
          </cell>
          <cell r="S56" t="str">
            <v>Тюменская область</v>
          </cell>
          <cell r="T56" t="str">
            <v>Уральский</v>
          </cell>
          <cell r="U56" t="str">
            <v>Россия</v>
          </cell>
          <cell r="V56" t="str">
            <v>Тюменская область</v>
          </cell>
          <cell r="W56" t="str">
            <v>Россия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44830</v>
          </cell>
          <cell r="AE56">
            <v>390000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44862</v>
          </cell>
          <cell r="BQ56">
            <v>0</v>
          </cell>
          <cell r="BR56">
            <v>44866</v>
          </cell>
          <cell r="BS56">
            <v>205421</v>
          </cell>
          <cell r="BT56">
            <v>44867</v>
          </cell>
          <cell r="BU56">
            <v>44872</v>
          </cell>
          <cell r="BV56">
            <v>700</v>
          </cell>
          <cell r="BW56">
            <v>700</v>
          </cell>
          <cell r="BX56">
            <v>0</v>
          </cell>
          <cell r="BY56">
            <v>0</v>
          </cell>
          <cell r="CA56">
            <v>1037</v>
          </cell>
          <cell r="CB56">
            <v>44890</v>
          </cell>
          <cell r="CC56">
            <v>0</v>
          </cell>
          <cell r="CD56" t="str">
            <v>Мартынов/Питерский</v>
          </cell>
          <cell r="CE56" t="str">
            <v/>
          </cell>
        </row>
        <row r="57">
          <cell r="A57">
            <v>54</v>
          </cell>
          <cell r="B57" t="str">
            <v>Вирусологическая неэффективность АРВТ</v>
          </cell>
          <cell r="C57">
            <v>17688</v>
          </cell>
          <cell r="D57">
            <v>44859</v>
          </cell>
          <cell r="E57" t="str">
            <v>плазма</v>
          </cell>
          <cell r="F57" t="str">
            <v>женский</v>
          </cell>
          <cell r="G57">
            <v>31767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 t="str">
            <v>да</v>
          </cell>
          <cell r="Q57">
            <v>0</v>
          </cell>
          <cell r="R57" t="str">
            <v>Тюмень</v>
          </cell>
          <cell r="S57" t="str">
            <v>Тюменская область</v>
          </cell>
          <cell r="T57" t="str">
            <v>Уральский</v>
          </cell>
          <cell r="U57" t="str">
            <v>Россия</v>
          </cell>
          <cell r="V57" t="str">
            <v>Тюменская область</v>
          </cell>
          <cell r="W57" t="str">
            <v>Россия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44830</v>
          </cell>
          <cell r="AE57">
            <v>2400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44862</v>
          </cell>
          <cell r="BQ57">
            <v>176758</v>
          </cell>
          <cell r="BR57" t="str">
            <v/>
          </cell>
          <cell r="BS57" t="str">
            <v/>
          </cell>
          <cell r="BT57">
            <v>44866</v>
          </cell>
          <cell r="BU57">
            <v>44873</v>
          </cell>
          <cell r="BV57" t="str">
            <v>н</v>
          </cell>
          <cell r="BW57" t="str">
            <v>н</v>
          </cell>
          <cell r="BX57">
            <v>0</v>
          </cell>
          <cell r="BY57">
            <v>0</v>
          </cell>
          <cell r="CA57">
            <v>1053</v>
          </cell>
          <cell r="CB57">
            <v>0</v>
          </cell>
          <cell r="CC57" t="str">
            <v>не валид</v>
          </cell>
          <cell r="CD57">
            <v>0</v>
          </cell>
          <cell r="CE57" t="str">
            <v/>
          </cell>
        </row>
        <row r="58">
          <cell r="A58">
            <v>55</v>
          </cell>
          <cell r="B58" t="str">
            <v>Исследование первичной резистентности ВИЧ</v>
          </cell>
          <cell r="C58">
            <v>10133</v>
          </cell>
          <cell r="D58">
            <v>44859</v>
          </cell>
          <cell r="E58" t="str">
            <v>плазма</v>
          </cell>
          <cell r="F58" t="str">
            <v>мужской</v>
          </cell>
          <cell r="G58">
            <v>30861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 t="str">
            <v>нет</v>
          </cell>
          <cell r="Q58">
            <v>0</v>
          </cell>
          <cell r="R58" t="str">
            <v>Тюмень</v>
          </cell>
          <cell r="S58" t="str">
            <v>Тюменская область</v>
          </cell>
          <cell r="T58" t="str">
            <v>Уральский</v>
          </cell>
          <cell r="U58" t="str">
            <v>Россия</v>
          </cell>
          <cell r="V58" t="str">
            <v>Тюменская область</v>
          </cell>
          <cell r="W58" t="str">
            <v>Россия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44656</v>
          </cell>
          <cell r="AE58">
            <v>30000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44862</v>
          </cell>
          <cell r="BQ58">
            <v>375</v>
          </cell>
          <cell r="BR58" t="str">
            <v/>
          </cell>
          <cell r="BS58" t="str">
            <v/>
          </cell>
          <cell r="BT58">
            <v>44866</v>
          </cell>
          <cell r="BU58">
            <v>44872</v>
          </cell>
          <cell r="BV58">
            <v>700</v>
          </cell>
          <cell r="BW58">
            <v>700</v>
          </cell>
          <cell r="BX58">
            <v>0</v>
          </cell>
          <cell r="BY58">
            <v>0</v>
          </cell>
          <cell r="CA58">
            <v>1038</v>
          </cell>
          <cell r="CB58">
            <v>44889</v>
          </cell>
          <cell r="CC58">
            <v>0</v>
          </cell>
          <cell r="CD58" t="str">
            <v>Мартынов</v>
          </cell>
          <cell r="CE58" t="str">
            <v/>
          </cell>
        </row>
        <row r="59">
          <cell r="A59">
            <v>56</v>
          </cell>
          <cell r="B59" t="str">
            <v>Вирусологическая неэффективность АРВТ</v>
          </cell>
          <cell r="C59" t="str">
            <v>_6/3697</v>
          </cell>
          <cell r="D59">
            <v>44859</v>
          </cell>
          <cell r="E59" t="str">
            <v>плазма</v>
          </cell>
          <cell r="F59" t="str">
            <v>мужской</v>
          </cell>
          <cell r="G59">
            <v>29883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 t="str">
            <v>да</v>
          </cell>
          <cell r="Q59">
            <v>0</v>
          </cell>
          <cell r="R59" t="str">
            <v>Тюмень</v>
          </cell>
          <cell r="S59" t="str">
            <v>Тюменская область</v>
          </cell>
          <cell r="T59" t="str">
            <v>Уральский</v>
          </cell>
          <cell r="U59" t="str">
            <v>Россия</v>
          </cell>
          <cell r="V59" t="str">
            <v>Тюменская область</v>
          </cell>
          <cell r="W59" t="str">
            <v>Россия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44830</v>
          </cell>
          <cell r="AE59">
            <v>250000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44862</v>
          </cell>
          <cell r="BQ59">
            <v>0</v>
          </cell>
          <cell r="BR59">
            <v>44866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CA59">
            <v>1071</v>
          </cell>
          <cell r="CB59">
            <v>0</v>
          </cell>
          <cell r="CC59">
            <v>0</v>
          </cell>
          <cell r="CD59">
            <v>0</v>
          </cell>
          <cell r="CE59" t="str">
            <v>Четверкина</v>
          </cell>
        </row>
        <row r="60">
          <cell r="A60">
            <v>57</v>
          </cell>
          <cell r="B60" t="str">
            <v>Вирусологическая неэффективность АРВТ</v>
          </cell>
          <cell r="C60">
            <v>13899</v>
          </cell>
          <cell r="D60">
            <v>44859</v>
          </cell>
          <cell r="E60" t="str">
            <v>плазма</v>
          </cell>
          <cell r="F60" t="str">
            <v>мужской</v>
          </cell>
          <cell r="G60">
            <v>31684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 t="str">
            <v>да</v>
          </cell>
          <cell r="Q60">
            <v>0</v>
          </cell>
          <cell r="R60" t="str">
            <v>Тюмень</v>
          </cell>
          <cell r="S60" t="str">
            <v>Тюменская область</v>
          </cell>
          <cell r="T60" t="str">
            <v>Уральский</v>
          </cell>
          <cell r="U60" t="str">
            <v>Россия</v>
          </cell>
          <cell r="V60" t="str">
            <v>Тюменская область</v>
          </cell>
          <cell r="W60" t="str">
            <v>Россия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44575</v>
          </cell>
          <cell r="AE60">
            <v>50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44862</v>
          </cell>
          <cell r="BQ60">
            <v>251</v>
          </cell>
          <cell r="BR60" t="str">
            <v/>
          </cell>
          <cell r="BS60" t="str">
            <v/>
          </cell>
          <cell r="BT60">
            <v>44867</v>
          </cell>
          <cell r="BU60">
            <v>44872</v>
          </cell>
          <cell r="BV60" t="str">
            <v>н</v>
          </cell>
          <cell r="BW60" t="str">
            <v>н</v>
          </cell>
          <cell r="BX60">
            <v>0</v>
          </cell>
          <cell r="BY60">
            <v>0</v>
          </cell>
          <cell r="CA60">
            <v>1054</v>
          </cell>
          <cell r="CB60">
            <v>0</v>
          </cell>
          <cell r="CC60" t="str">
            <v>не валид</v>
          </cell>
          <cell r="CD60">
            <v>0</v>
          </cell>
          <cell r="CE60" t="str">
            <v/>
          </cell>
        </row>
        <row r="61">
          <cell r="A61">
            <v>58</v>
          </cell>
          <cell r="B61" t="str">
            <v>Вирусологическая неэффективность АРВТ</v>
          </cell>
          <cell r="C61">
            <v>20922</v>
          </cell>
          <cell r="D61">
            <v>44859</v>
          </cell>
          <cell r="E61" t="str">
            <v>плазма</v>
          </cell>
          <cell r="F61" t="str">
            <v>мужской</v>
          </cell>
          <cell r="G61">
            <v>30276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 t="str">
            <v>да</v>
          </cell>
          <cell r="Q61">
            <v>0</v>
          </cell>
          <cell r="R61" t="str">
            <v>Тюмень</v>
          </cell>
          <cell r="S61" t="str">
            <v>Тюменская область</v>
          </cell>
          <cell r="T61" t="str">
            <v>Уральский</v>
          </cell>
          <cell r="U61" t="str">
            <v>Россия</v>
          </cell>
          <cell r="V61" t="str">
            <v>Тюменская область</v>
          </cell>
          <cell r="W61" t="str">
            <v>Россия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44693</v>
          </cell>
          <cell r="AE61">
            <v>47000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44862</v>
          </cell>
          <cell r="BQ61">
            <v>72514</v>
          </cell>
          <cell r="BR61" t="str">
            <v/>
          </cell>
          <cell r="BS61" t="str">
            <v/>
          </cell>
          <cell r="BT61">
            <v>44867</v>
          </cell>
          <cell r="BU61">
            <v>44872</v>
          </cell>
          <cell r="BV61">
            <v>700</v>
          </cell>
          <cell r="BW61">
            <v>700</v>
          </cell>
          <cell r="BX61">
            <v>0</v>
          </cell>
          <cell r="BY61">
            <v>0</v>
          </cell>
          <cell r="CA61">
            <v>1039</v>
          </cell>
          <cell r="CB61">
            <v>44889</v>
          </cell>
          <cell r="CC61">
            <v>0</v>
          </cell>
          <cell r="CD61" t="str">
            <v>Мартынов</v>
          </cell>
          <cell r="CE61" t="str">
            <v/>
          </cell>
        </row>
        <row r="62">
          <cell r="A62">
            <v>59</v>
          </cell>
          <cell r="B62" t="str">
            <v>Вирусологическая неэффективность АРВТ</v>
          </cell>
          <cell r="C62" t="str">
            <v>839а</v>
          </cell>
          <cell r="D62">
            <v>44859</v>
          </cell>
          <cell r="E62" t="str">
            <v>плазма</v>
          </cell>
          <cell r="F62" t="str">
            <v>мужской</v>
          </cell>
          <cell r="G62">
            <v>34698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 t="str">
            <v>да</v>
          </cell>
          <cell r="Q62">
            <v>0</v>
          </cell>
          <cell r="R62" t="str">
            <v>Тюмень</v>
          </cell>
          <cell r="S62" t="str">
            <v>Тюменская область</v>
          </cell>
          <cell r="T62" t="str">
            <v>Уральский</v>
          </cell>
          <cell r="U62" t="str">
            <v>Россия</v>
          </cell>
          <cell r="V62" t="str">
            <v>Тюменская область</v>
          </cell>
          <cell r="W62" t="str">
            <v>Россия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44788</v>
          </cell>
          <cell r="AE62">
            <v>600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44862</v>
          </cell>
          <cell r="BQ62">
            <v>0</v>
          </cell>
          <cell r="BR62">
            <v>44866</v>
          </cell>
          <cell r="BS62">
            <v>54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CA62">
            <v>1072</v>
          </cell>
          <cell r="CB62">
            <v>0</v>
          </cell>
          <cell r="CC62">
            <v>0</v>
          </cell>
          <cell r="CD62">
            <v>0</v>
          </cell>
          <cell r="CE62" t="str">
            <v>Билалова</v>
          </cell>
        </row>
        <row r="63">
          <cell r="A63">
            <v>60</v>
          </cell>
          <cell r="B63" t="str">
            <v>Вирусологическая неэффективность АРВТ</v>
          </cell>
          <cell r="C63">
            <v>16797</v>
          </cell>
          <cell r="D63">
            <v>44859</v>
          </cell>
          <cell r="E63" t="str">
            <v>плазма</v>
          </cell>
          <cell r="F63" t="str">
            <v>мужской</v>
          </cell>
          <cell r="G63">
            <v>32911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 t="str">
            <v>да</v>
          </cell>
          <cell r="Q63">
            <v>0</v>
          </cell>
          <cell r="R63" t="str">
            <v>Тюмень</v>
          </cell>
          <cell r="S63" t="str">
            <v>Тюменская область</v>
          </cell>
          <cell r="T63" t="str">
            <v>Уральский</v>
          </cell>
          <cell r="U63" t="str">
            <v>Россия</v>
          </cell>
          <cell r="V63" t="str">
            <v>Тюменская область</v>
          </cell>
          <cell r="W63" t="str">
            <v>Россия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44844</v>
          </cell>
          <cell r="AE63">
            <v>1600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44862</v>
          </cell>
          <cell r="BQ63">
            <v>0</v>
          </cell>
          <cell r="BR63">
            <v>44866</v>
          </cell>
          <cell r="BS63">
            <v>78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CA63">
            <v>1073</v>
          </cell>
          <cell r="CB63">
            <v>0</v>
          </cell>
          <cell r="CC63">
            <v>0</v>
          </cell>
          <cell r="CD63">
            <v>0</v>
          </cell>
          <cell r="CE63" t="str">
            <v>Билалова</v>
          </cell>
        </row>
        <row r="64">
          <cell r="A64">
            <v>61</v>
          </cell>
          <cell r="B64" t="str">
            <v>Вирусологическая неэффективность АРВТ</v>
          </cell>
          <cell r="C64">
            <v>17621</v>
          </cell>
          <cell r="D64">
            <v>44859</v>
          </cell>
          <cell r="E64" t="str">
            <v>плазма</v>
          </cell>
          <cell r="F64" t="str">
            <v>мужской</v>
          </cell>
          <cell r="G64">
            <v>26227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 t="str">
            <v>да</v>
          </cell>
          <cell r="Q64">
            <v>0</v>
          </cell>
          <cell r="R64" t="str">
            <v>Тюмень</v>
          </cell>
          <cell r="S64" t="str">
            <v>Тюменская область</v>
          </cell>
          <cell r="T64" t="str">
            <v>Уральский</v>
          </cell>
          <cell r="U64" t="str">
            <v>Россия</v>
          </cell>
          <cell r="V64" t="str">
            <v>Тюменская область</v>
          </cell>
          <cell r="W64" t="str">
            <v>Россия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44508</v>
          </cell>
          <cell r="AE64">
            <v>10000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 t="str">
            <v/>
          </cell>
          <cell r="BQ64" t="str">
            <v/>
          </cell>
          <cell r="BR64">
            <v>44866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CA64">
            <v>1074</v>
          </cell>
          <cell r="CB64">
            <v>0</v>
          </cell>
          <cell r="CC64">
            <v>0</v>
          </cell>
          <cell r="CD64">
            <v>0</v>
          </cell>
          <cell r="CE64" t="str">
            <v>Четверкина</v>
          </cell>
        </row>
        <row r="65">
          <cell r="A65">
            <v>62</v>
          </cell>
          <cell r="B65" t="str">
            <v>Вирусологическая неэффективность АРВТ</v>
          </cell>
          <cell r="C65" t="str">
            <v>107/11</v>
          </cell>
          <cell r="D65">
            <v>44859</v>
          </cell>
          <cell r="E65" t="str">
            <v>плазма</v>
          </cell>
          <cell r="F65" t="str">
            <v>женский</v>
          </cell>
          <cell r="G65">
            <v>33482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 t="str">
            <v>да</v>
          </cell>
          <cell r="Q65">
            <v>0</v>
          </cell>
          <cell r="R65" t="str">
            <v>Тюмень</v>
          </cell>
          <cell r="S65" t="str">
            <v>Тюменская область</v>
          </cell>
          <cell r="T65" t="str">
            <v>Уральский</v>
          </cell>
          <cell r="U65" t="str">
            <v>Россия</v>
          </cell>
          <cell r="V65" t="str">
            <v>Тюменская область</v>
          </cell>
          <cell r="W65" t="str">
            <v>Россия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44859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 t="str">
            <v/>
          </cell>
          <cell r="BQ65" t="str">
            <v/>
          </cell>
          <cell r="BR65">
            <v>44866</v>
          </cell>
          <cell r="BS65">
            <v>7461</v>
          </cell>
          <cell r="BT65">
            <v>44867</v>
          </cell>
          <cell r="BU65">
            <v>44872</v>
          </cell>
          <cell r="BV65">
            <v>700</v>
          </cell>
          <cell r="BW65">
            <v>700</v>
          </cell>
          <cell r="BX65">
            <v>0</v>
          </cell>
          <cell r="BY65">
            <v>0</v>
          </cell>
          <cell r="CA65">
            <v>1040</v>
          </cell>
          <cell r="CB65">
            <v>44890</v>
          </cell>
          <cell r="CC65">
            <v>0</v>
          </cell>
          <cell r="CD65" t="str">
            <v>Мартынов</v>
          </cell>
          <cell r="CE65" t="str">
            <v/>
          </cell>
        </row>
        <row r="66">
          <cell r="A66">
            <v>63</v>
          </cell>
          <cell r="B66" t="str">
            <v>Вирусологическая неэффективность АРВТ</v>
          </cell>
          <cell r="C66">
            <v>14486</v>
          </cell>
          <cell r="D66">
            <v>44859</v>
          </cell>
          <cell r="E66" t="str">
            <v>плазма</v>
          </cell>
          <cell r="F66" t="str">
            <v>мужской</v>
          </cell>
          <cell r="G66">
            <v>29840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 t="str">
            <v>да</v>
          </cell>
          <cell r="Q66">
            <v>0</v>
          </cell>
          <cell r="R66" t="str">
            <v>Тюмень</v>
          </cell>
          <cell r="S66" t="str">
            <v>Тюменская область</v>
          </cell>
          <cell r="T66" t="str">
            <v>Уральский</v>
          </cell>
          <cell r="U66" t="str">
            <v>Россия</v>
          </cell>
          <cell r="V66" t="str">
            <v>Тюменская область</v>
          </cell>
          <cell r="W66" t="str">
            <v>Россия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44672</v>
          </cell>
          <cell r="AE66">
            <v>4000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 t="str">
            <v/>
          </cell>
          <cell r="BQ66" t="str">
            <v/>
          </cell>
          <cell r="BR66">
            <v>44866</v>
          </cell>
          <cell r="BS66">
            <v>125</v>
          </cell>
          <cell r="BT66">
            <v>44867</v>
          </cell>
          <cell r="BU66">
            <v>44872</v>
          </cell>
          <cell r="BV66">
            <v>700</v>
          </cell>
          <cell r="BW66">
            <v>700</v>
          </cell>
          <cell r="BX66">
            <v>0</v>
          </cell>
          <cell r="BY66">
            <v>0</v>
          </cell>
          <cell r="CA66">
            <v>1041</v>
          </cell>
          <cell r="CB66">
            <v>44889</v>
          </cell>
          <cell r="CC66">
            <v>0</v>
          </cell>
          <cell r="CD66" t="str">
            <v>Мартынов</v>
          </cell>
          <cell r="CE66" t="str">
            <v/>
          </cell>
        </row>
        <row r="67">
          <cell r="A67">
            <v>64</v>
          </cell>
          <cell r="B67" t="str">
            <v>Вирусологическая неэффективность АРВТ</v>
          </cell>
          <cell r="C67">
            <v>20774</v>
          </cell>
          <cell r="D67">
            <v>44860</v>
          </cell>
          <cell r="E67" t="str">
            <v>плазма</v>
          </cell>
          <cell r="F67" t="str">
            <v>мужской</v>
          </cell>
          <cell r="G67">
            <v>24051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 t="str">
            <v>да</v>
          </cell>
          <cell r="Q67">
            <v>0</v>
          </cell>
          <cell r="R67" t="str">
            <v>Тюмень</v>
          </cell>
          <cell r="S67" t="str">
            <v>Тюменская область</v>
          </cell>
          <cell r="T67" t="str">
            <v>Уральский</v>
          </cell>
          <cell r="U67" t="str">
            <v>Россия</v>
          </cell>
          <cell r="V67" t="str">
            <v>Тюменская область</v>
          </cell>
          <cell r="W67" t="str">
            <v>Россия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44732</v>
          </cell>
          <cell r="AE67">
            <v>260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 t="str">
            <v/>
          </cell>
          <cell r="BQ67" t="str">
            <v/>
          </cell>
          <cell r="BR67">
            <v>44866</v>
          </cell>
          <cell r="BS67">
            <v>189979</v>
          </cell>
          <cell r="BT67">
            <v>44867</v>
          </cell>
          <cell r="BU67">
            <v>44872</v>
          </cell>
          <cell r="BV67">
            <v>700</v>
          </cell>
          <cell r="BW67">
            <v>700</v>
          </cell>
          <cell r="BX67">
            <v>0</v>
          </cell>
          <cell r="BY67">
            <v>0</v>
          </cell>
          <cell r="CA67">
            <v>1042</v>
          </cell>
          <cell r="CB67">
            <v>44889</v>
          </cell>
          <cell r="CC67">
            <v>0</v>
          </cell>
          <cell r="CD67">
            <v>0</v>
          </cell>
          <cell r="CE67" t="str">
            <v/>
          </cell>
        </row>
        <row r="68">
          <cell r="A68">
            <v>65</v>
          </cell>
          <cell r="B68" t="str">
            <v>Вирусологическая неэффективность АРВТ</v>
          </cell>
          <cell r="C68" t="str">
            <v>1068/8</v>
          </cell>
          <cell r="D68">
            <v>44860</v>
          </cell>
          <cell r="E68" t="str">
            <v>плазма</v>
          </cell>
          <cell r="F68" t="str">
            <v>мужской</v>
          </cell>
          <cell r="G68">
            <v>27199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 t="str">
            <v>да</v>
          </cell>
          <cell r="Q68">
            <v>0</v>
          </cell>
          <cell r="R68" t="str">
            <v>Тюмень</v>
          </cell>
          <cell r="S68" t="str">
            <v>Тюменская область</v>
          </cell>
          <cell r="T68" t="str">
            <v>Уральский</v>
          </cell>
          <cell r="U68" t="str">
            <v>Россия</v>
          </cell>
          <cell r="V68" t="str">
            <v>Тюменская область</v>
          </cell>
          <cell r="W68" t="str">
            <v>Россия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44833</v>
          </cell>
          <cell r="AE68">
            <v>720000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 t="str">
            <v/>
          </cell>
          <cell r="BQ68" t="str">
            <v/>
          </cell>
          <cell r="BR68">
            <v>44866</v>
          </cell>
          <cell r="BS68">
            <v>1690</v>
          </cell>
          <cell r="BT68">
            <v>44867</v>
          </cell>
          <cell r="BU68">
            <v>44879</v>
          </cell>
          <cell r="BV68">
            <v>700</v>
          </cell>
          <cell r="BW68">
            <v>700</v>
          </cell>
          <cell r="BX68">
            <v>0</v>
          </cell>
          <cell r="BY68">
            <v>0</v>
          </cell>
          <cell r="CA68">
            <v>1055</v>
          </cell>
          <cell r="CB68">
            <v>44889</v>
          </cell>
          <cell r="CC68">
            <v>0</v>
          </cell>
          <cell r="CD68">
            <v>0</v>
          </cell>
          <cell r="CE68" t="str">
            <v/>
          </cell>
        </row>
        <row r="69">
          <cell r="A69">
            <v>66</v>
          </cell>
          <cell r="B69" t="str">
            <v>Вирусологическая неэффективность АРВТ</v>
          </cell>
          <cell r="C69">
            <v>14034</v>
          </cell>
          <cell r="D69">
            <v>44860</v>
          </cell>
          <cell r="E69" t="str">
            <v>плазма</v>
          </cell>
          <cell r="F69" t="str">
            <v>женский</v>
          </cell>
          <cell r="G69">
            <v>35127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 t="str">
            <v>да</v>
          </cell>
          <cell r="Q69">
            <v>0</v>
          </cell>
          <cell r="R69" t="str">
            <v>Тюмень</v>
          </cell>
          <cell r="S69" t="str">
            <v>Тюменская область</v>
          </cell>
          <cell r="T69" t="str">
            <v>Уральский</v>
          </cell>
          <cell r="U69" t="str">
            <v>Россия</v>
          </cell>
          <cell r="V69" t="str">
            <v>Тюменская область</v>
          </cell>
          <cell r="W69" t="str">
            <v>Россия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44831</v>
          </cell>
          <cell r="AE69">
            <v>4900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 t="str">
            <v/>
          </cell>
          <cell r="BQ69" t="str">
            <v/>
          </cell>
          <cell r="BR69">
            <v>44866</v>
          </cell>
          <cell r="BS69">
            <v>56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CA69">
            <v>1075</v>
          </cell>
          <cell r="CB69">
            <v>0</v>
          </cell>
          <cell r="CC69">
            <v>0</v>
          </cell>
          <cell r="CD69">
            <v>0</v>
          </cell>
          <cell r="CE69" t="str">
            <v>Билалова</v>
          </cell>
        </row>
        <row r="70">
          <cell r="A70">
            <v>67</v>
          </cell>
          <cell r="B70" t="str">
            <v>Вирусологическая неэффективность АРВТ</v>
          </cell>
          <cell r="C70">
            <v>14398</v>
          </cell>
          <cell r="D70">
            <v>44860</v>
          </cell>
          <cell r="E70" t="str">
            <v>плазма</v>
          </cell>
          <cell r="F70" t="str">
            <v>женский</v>
          </cell>
          <cell r="G70">
            <v>33418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 t="str">
            <v>да</v>
          </cell>
          <cell r="Q70">
            <v>0</v>
          </cell>
          <cell r="R70" t="str">
            <v>Тюмень</v>
          </cell>
          <cell r="S70" t="str">
            <v>Тюменская область</v>
          </cell>
          <cell r="T70" t="str">
            <v>Уральский</v>
          </cell>
          <cell r="U70" t="str">
            <v>Россия</v>
          </cell>
          <cell r="V70" t="str">
            <v>Тюменская область</v>
          </cell>
          <cell r="W70" t="str">
            <v>Россия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44728</v>
          </cell>
          <cell r="AE70">
            <v>220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 t="str">
            <v/>
          </cell>
          <cell r="BQ70" t="str">
            <v/>
          </cell>
          <cell r="BR70">
            <v>44866</v>
          </cell>
          <cell r="BS70">
            <v>175</v>
          </cell>
          <cell r="BT70">
            <v>44867</v>
          </cell>
          <cell r="BU70">
            <v>44872</v>
          </cell>
          <cell r="BV70">
            <v>700</v>
          </cell>
          <cell r="BW70">
            <v>700</v>
          </cell>
          <cell r="BX70">
            <v>0</v>
          </cell>
          <cell r="BY70">
            <v>0</v>
          </cell>
          <cell r="CA70">
            <v>1043</v>
          </cell>
          <cell r="CB70">
            <v>44889</v>
          </cell>
          <cell r="CC70">
            <v>0</v>
          </cell>
          <cell r="CD70">
            <v>0</v>
          </cell>
          <cell r="CE70" t="str">
            <v/>
          </cell>
        </row>
        <row r="71">
          <cell r="A71">
            <v>68</v>
          </cell>
          <cell r="B71" t="str">
            <v>Вирусологическая неэффективность АРВТ</v>
          </cell>
          <cell r="C71">
            <v>20161</v>
          </cell>
          <cell r="D71">
            <v>44860</v>
          </cell>
          <cell r="E71" t="str">
            <v>плазма</v>
          </cell>
          <cell r="F71" t="str">
            <v>мужской</v>
          </cell>
          <cell r="G71">
            <v>23035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 t="str">
            <v>да</v>
          </cell>
          <cell r="Q71">
            <v>0</v>
          </cell>
          <cell r="R71" t="str">
            <v>Тюмень</v>
          </cell>
          <cell r="S71" t="str">
            <v>Тюменская область</v>
          </cell>
          <cell r="T71" t="str">
            <v>Уральский</v>
          </cell>
          <cell r="U71" t="str">
            <v>Россия</v>
          </cell>
          <cell r="V71" t="str">
            <v>Тюменская область</v>
          </cell>
          <cell r="W71" t="str">
            <v>Россия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44769</v>
          </cell>
          <cell r="AE71">
            <v>250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 t="str">
            <v/>
          </cell>
          <cell r="BQ71" t="str">
            <v/>
          </cell>
          <cell r="BR71">
            <v>44866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CA71">
            <v>1076</v>
          </cell>
          <cell r="CB71">
            <v>0</v>
          </cell>
          <cell r="CC71">
            <v>0</v>
          </cell>
          <cell r="CD71">
            <v>0</v>
          </cell>
          <cell r="CE71" t="str">
            <v>Четверкина</v>
          </cell>
        </row>
        <row r="72">
          <cell r="A72">
            <v>69</v>
          </cell>
          <cell r="B72" t="str">
            <v>Вирусологическая неэффективность АРВТ</v>
          </cell>
          <cell r="C72">
            <v>1344</v>
          </cell>
          <cell r="D72">
            <v>44860</v>
          </cell>
          <cell r="E72" t="str">
            <v>плазма</v>
          </cell>
          <cell r="F72" t="str">
            <v>мужской</v>
          </cell>
          <cell r="G72">
            <v>26487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 t="str">
            <v>да</v>
          </cell>
          <cell r="Q72">
            <v>0</v>
          </cell>
          <cell r="R72" t="str">
            <v>Тюмень</v>
          </cell>
          <cell r="S72" t="str">
            <v>Тюменская область</v>
          </cell>
          <cell r="T72" t="str">
            <v>Уральский</v>
          </cell>
          <cell r="U72" t="str">
            <v>Россия</v>
          </cell>
          <cell r="V72" t="str">
            <v>Тюменская область</v>
          </cell>
          <cell r="W72" t="str">
            <v>Россия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44851</v>
          </cell>
          <cell r="AE72">
            <v>160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 t="str">
            <v/>
          </cell>
          <cell r="BQ72" t="str">
            <v/>
          </cell>
          <cell r="BR72">
            <v>44866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CA72">
            <v>1077</v>
          </cell>
          <cell r="CB72">
            <v>0</v>
          </cell>
          <cell r="CC72">
            <v>0</v>
          </cell>
          <cell r="CD72">
            <v>0</v>
          </cell>
          <cell r="CE72" t="str">
            <v>Четверкина</v>
          </cell>
        </row>
        <row r="73">
          <cell r="A73">
            <v>70</v>
          </cell>
          <cell r="B73" t="str">
            <v>Вирусологическая неэффективность АРВТ</v>
          </cell>
          <cell r="C73">
            <v>19496</v>
          </cell>
          <cell r="D73">
            <v>44860</v>
          </cell>
          <cell r="E73" t="str">
            <v>плазма</v>
          </cell>
          <cell r="F73" t="str">
            <v>женский</v>
          </cell>
          <cell r="G73">
            <v>30528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 t="str">
            <v>да</v>
          </cell>
          <cell r="Q73">
            <v>0</v>
          </cell>
          <cell r="R73" t="str">
            <v>Тюмень</v>
          </cell>
          <cell r="S73" t="str">
            <v>Тюменская область</v>
          </cell>
          <cell r="T73" t="str">
            <v>Уральский</v>
          </cell>
          <cell r="U73" t="str">
            <v>Россия</v>
          </cell>
          <cell r="V73" t="str">
            <v>Тюменская область</v>
          </cell>
          <cell r="W73" t="str">
            <v>Россия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44713</v>
          </cell>
          <cell r="AE73">
            <v>384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 t="str">
            <v/>
          </cell>
          <cell r="BQ73" t="str">
            <v/>
          </cell>
          <cell r="BR73">
            <v>44866</v>
          </cell>
          <cell r="BS73">
            <v>344</v>
          </cell>
          <cell r="BT73">
            <v>44867</v>
          </cell>
          <cell r="BU73">
            <v>44872</v>
          </cell>
          <cell r="BV73">
            <v>700</v>
          </cell>
          <cell r="BW73">
            <v>700</v>
          </cell>
          <cell r="BX73">
            <v>0</v>
          </cell>
          <cell r="BY73">
            <v>0</v>
          </cell>
          <cell r="CA73">
            <v>1044</v>
          </cell>
          <cell r="CB73">
            <v>0</v>
          </cell>
          <cell r="CC73" t="str">
            <v>p1-2,r1-4</v>
          </cell>
          <cell r="CD73">
            <v>0</v>
          </cell>
          <cell r="CE73" t="str">
            <v/>
          </cell>
        </row>
        <row r="74">
          <cell r="A74">
            <v>71</v>
          </cell>
          <cell r="B74" t="str">
            <v>Вирусологическая неэффективность АРВТ</v>
          </cell>
          <cell r="C74">
            <v>7623</v>
          </cell>
          <cell r="D74">
            <v>44860</v>
          </cell>
          <cell r="E74" t="str">
            <v>плазма</v>
          </cell>
          <cell r="F74" t="str">
            <v>женский</v>
          </cell>
          <cell r="G74">
            <v>28461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 t="str">
            <v>да</v>
          </cell>
          <cell r="Q74">
            <v>0</v>
          </cell>
          <cell r="R74" t="str">
            <v>Тюмень</v>
          </cell>
          <cell r="S74" t="str">
            <v>Тюменская область</v>
          </cell>
          <cell r="T74" t="str">
            <v>Уральский</v>
          </cell>
          <cell r="U74" t="str">
            <v>Россия</v>
          </cell>
          <cell r="V74" t="str">
            <v>Тюменская область</v>
          </cell>
          <cell r="W74" t="str">
            <v>Россия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44771</v>
          </cell>
          <cell r="AE74">
            <v>2150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 t="str">
            <v/>
          </cell>
          <cell r="BQ74" t="str">
            <v/>
          </cell>
          <cell r="BR74">
            <v>44866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CA74">
            <v>1078</v>
          </cell>
          <cell r="CB74">
            <v>0</v>
          </cell>
          <cell r="CC74">
            <v>0</v>
          </cell>
          <cell r="CD74">
            <v>0</v>
          </cell>
          <cell r="CE74" t="str">
            <v>Четверкина</v>
          </cell>
        </row>
        <row r="75">
          <cell r="A75">
            <v>72</v>
          </cell>
          <cell r="B75" t="str">
            <v>Исследование первичной резистентности ВИЧ</v>
          </cell>
          <cell r="C75">
            <v>15045</v>
          </cell>
          <cell r="D75">
            <v>44860</v>
          </cell>
          <cell r="E75" t="str">
            <v>плазма</v>
          </cell>
          <cell r="F75" t="str">
            <v>женский</v>
          </cell>
          <cell r="G75">
            <v>32953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 t="str">
            <v>нет</v>
          </cell>
          <cell r="Q75">
            <v>0</v>
          </cell>
          <cell r="R75" t="str">
            <v>Тюмень</v>
          </cell>
          <cell r="S75" t="str">
            <v>Тюменская область</v>
          </cell>
          <cell r="T75" t="str">
            <v>Уральский</v>
          </cell>
          <cell r="U75" t="str">
            <v>Россия</v>
          </cell>
          <cell r="V75" t="str">
            <v>Тюменская область</v>
          </cell>
          <cell r="W75" t="str">
            <v>Россия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43305</v>
          </cell>
          <cell r="AE75">
            <v>9130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 t="str">
            <v/>
          </cell>
          <cell r="BQ75" t="str">
            <v/>
          </cell>
          <cell r="BR75">
            <v>44866</v>
          </cell>
          <cell r="BS75">
            <v>1566</v>
          </cell>
          <cell r="BT75">
            <v>44867</v>
          </cell>
          <cell r="BU75">
            <v>44872</v>
          </cell>
          <cell r="BV75">
            <v>700</v>
          </cell>
          <cell r="BW75">
            <v>700</v>
          </cell>
          <cell r="BX75">
            <v>0</v>
          </cell>
          <cell r="BY75">
            <v>0</v>
          </cell>
          <cell r="CA75">
            <v>1045</v>
          </cell>
          <cell r="CB75">
            <v>44889</v>
          </cell>
          <cell r="CC75">
            <v>0</v>
          </cell>
          <cell r="CD75">
            <v>0</v>
          </cell>
          <cell r="CE75" t="str">
            <v/>
          </cell>
        </row>
        <row r="76">
          <cell r="A76">
            <v>73</v>
          </cell>
          <cell r="B76" t="str">
            <v>Вирусологическая неэффективность АРВТ</v>
          </cell>
          <cell r="C76">
            <v>2843</v>
          </cell>
          <cell r="D76">
            <v>44860</v>
          </cell>
          <cell r="E76" t="str">
            <v>плазма</v>
          </cell>
          <cell r="F76" t="str">
            <v>женский</v>
          </cell>
          <cell r="G76">
            <v>29347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 t="str">
            <v>да</v>
          </cell>
          <cell r="Q76">
            <v>0</v>
          </cell>
          <cell r="R76" t="str">
            <v>Тюмень</v>
          </cell>
          <cell r="S76" t="str">
            <v>Тюменская область</v>
          </cell>
          <cell r="T76" t="str">
            <v>Уральский</v>
          </cell>
          <cell r="U76" t="str">
            <v>Россия</v>
          </cell>
          <cell r="V76" t="str">
            <v>Тюменская область</v>
          </cell>
          <cell r="W76" t="str">
            <v>Россия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44803</v>
          </cell>
          <cell r="AE76">
            <v>1410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 t="str">
            <v/>
          </cell>
          <cell r="BQ76" t="str">
            <v/>
          </cell>
          <cell r="BR76">
            <v>44866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CA76">
            <v>1079</v>
          </cell>
          <cell r="CB76">
            <v>0</v>
          </cell>
          <cell r="CC76">
            <v>0</v>
          </cell>
          <cell r="CD76">
            <v>0</v>
          </cell>
          <cell r="CE76" t="str">
            <v>Мартынов</v>
          </cell>
        </row>
        <row r="77">
          <cell r="A77">
            <v>74</v>
          </cell>
          <cell r="B77" t="str">
            <v>Вирусологическая неэффективность АРВТ</v>
          </cell>
          <cell r="C77" t="str">
            <v>_6/2871</v>
          </cell>
          <cell r="D77">
            <v>44860</v>
          </cell>
          <cell r="E77" t="str">
            <v>плазма</v>
          </cell>
          <cell r="F77" t="str">
            <v>женский</v>
          </cell>
          <cell r="G77">
            <v>26418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 t="str">
            <v>да</v>
          </cell>
          <cell r="Q77">
            <v>0</v>
          </cell>
          <cell r="R77" t="str">
            <v>Тюмень</v>
          </cell>
          <cell r="S77" t="str">
            <v>Тюменская область</v>
          </cell>
          <cell r="T77" t="str">
            <v>Уральский</v>
          </cell>
          <cell r="U77" t="str">
            <v>Россия</v>
          </cell>
          <cell r="V77" t="str">
            <v>Тюменская область</v>
          </cell>
          <cell r="W77" t="str">
            <v>Россия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44666</v>
          </cell>
          <cell r="AE77">
            <v>77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 t="str">
            <v/>
          </cell>
          <cell r="BQ77" t="str">
            <v/>
          </cell>
          <cell r="BR77">
            <v>44866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CA77">
            <v>1080</v>
          </cell>
          <cell r="CB77">
            <v>0</v>
          </cell>
          <cell r="CC77">
            <v>0</v>
          </cell>
          <cell r="CD77">
            <v>0</v>
          </cell>
          <cell r="CE77" t="str">
            <v>Мартынов</v>
          </cell>
        </row>
        <row r="78">
          <cell r="A78">
            <v>75</v>
          </cell>
          <cell r="B78" t="str">
            <v>Вирусологическая неэффективность АРВТ</v>
          </cell>
          <cell r="C78" t="str">
            <v>Кмос Е.А</v>
          </cell>
          <cell r="D78">
            <v>44860</v>
          </cell>
          <cell r="E78" t="str">
            <v>плазма</v>
          </cell>
          <cell r="F78" t="str">
            <v>женский</v>
          </cell>
          <cell r="G78">
            <v>22737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 t="str">
            <v>да</v>
          </cell>
          <cell r="Q78">
            <v>0</v>
          </cell>
          <cell r="R78" t="str">
            <v>Тюмень</v>
          </cell>
          <cell r="S78" t="str">
            <v>Тюменская область</v>
          </cell>
          <cell r="T78" t="str">
            <v>Уральский</v>
          </cell>
          <cell r="U78" t="str">
            <v>Россия</v>
          </cell>
          <cell r="V78" t="str">
            <v>Тюменская область</v>
          </cell>
          <cell r="W78" t="str">
            <v>Россия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44769</v>
          </cell>
          <cell r="AE78">
            <v>4580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 t="str">
            <v/>
          </cell>
          <cell r="BQ78" t="str">
            <v/>
          </cell>
          <cell r="BR78">
            <v>44866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CA78">
            <v>1081</v>
          </cell>
          <cell r="CB78">
            <v>0</v>
          </cell>
          <cell r="CC78">
            <v>0</v>
          </cell>
          <cell r="CD78">
            <v>0</v>
          </cell>
          <cell r="CE78" t="str">
            <v>Мартынов</v>
          </cell>
        </row>
        <row r="79">
          <cell r="A79">
            <v>76</v>
          </cell>
          <cell r="B79" t="str">
            <v>Исследование первичной резистентности ВИЧ</v>
          </cell>
          <cell r="C79">
            <v>24441</v>
          </cell>
          <cell r="D79">
            <v>44860</v>
          </cell>
          <cell r="E79" t="str">
            <v>плазма</v>
          </cell>
          <cell r="F79" t="str">
            <v>мужской</v>
          </cell>
          <cell r="G79">
            <v>35177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 t="str">
            <v>нет</v>
          </cell>
          <cell r="Q79">
            <v>0</v>
          </cell>
          <cell r="R79" t="str">
            <v>Тюмень</v>
          </cell>
          <cell r="S79" t="str">
            <v>Тюменская область</v>
          </cell>
          <cell r="T79" t="str">
            <v>Уральский</v>
          </cell>
          <cell r="U79" t="str">
            <v>Россия</v>
          </cell>
          <cell r="V79" t="str">
            <v>Тюменская область</v>
          </cell>
          <cell r="W79" t="str">
            <v>Россия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43550</v>
          </cell>
          <cell r="AE79">
            <v>50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 t="str">
            <v/>
          </cell>
          <cell r="BQ79" t="str">
            <v/>
          </cell>
          <cell r="BR79">
            <v>44866</v>
          </cell>
          <cell r="BS79">
            <v>19598</v>
          </cell>
          <cell r="BT79">
            <v>44867</v>
          </cell>
          <cell r="BU79">
            <v>44872</v>
          </cell>
          <cell r="BV79">
            <v>700</v>
          </cell>
          <cell r="BW79">
            <v>700</v>
          </cell>
          <cell r="BX79">
            <v>0</v>
          </cell>
          <cell r="BY79">
            <v>0</v>
          </cell>
          <cell r="CA79">
            <v>1046</v>
          </cell>
          <cell r="CB79">
            <v>44888</v>
          </cell>
          <cell r="CC79">
            <v>0</v>
          </cell>
          <cell r="CD79" t="str">
            <v>Мартынов</v>
          </cell>
          <cell r="CE79" t="str">
            <v/>
          </cell>
        </row>
        <row r="80">
          <cell r="A80">
            <v>77</v>
          </cell>
          <cell r="B80" t="str">
            <v>Вирусологическая неэффективность АРВТ</v>
          </cell>
          <cell r="C80" t="str">
            <v>_6/4025</v>
          </cell>
          <cell r="D80">
            <v>44860</v>
          </cell>
          <cell r="E80" t="str">
            <v>плазма</v>
          </cell>
          <cell r="F80" t="str">
            <v>мужской</v>
          </cell>
          <cell r="G80">
            <v>28736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 t="str">
            <v>да</v>
          </cell>
          <cell r="Q80">
            <v>0</v>
          </cell>
          <cell r="R80" t="str">
            <v>Тюмень</v>
          </cell>
          <cell r="S80" t="str">
            <v>Тюменская область</v>
          </cell>
          <cell r="T80" t="str">
            <v>Уральский</v>
          </cell>
          <cell r="U80" t="str">
            <v>Россия</v>
          </cell>
          <cell r="V80" t="str">
            <v>Тюменская область</v>
          </cell>
          <cell r="W80" t="str">
            <v>Россия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44837</v>
          </cell>
          <cell r="AE80">
            <v>4600000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 t="str">
            <v/>
          </cell>
          <cell r="BQ80" t="str">
            <v/>
          </cell>
          <cell r="BR80">
            <v>44866</v>
          </cell>
          <cell r="BS80">
            <v>1602</v>
          </cell>
          <cell r="BT80">
            <v>44867</v>
          </cell>
          <cell r="BU80">
            <v>44872</v>
          </cell>
          <cell r="BV80">
            <v>700</v>
          </cell>
          <cell r="BW80">
            <v>700</v>
          </cell>
          <cell r="BX80">
            <v>0</v>
          </cell>
          <cell r="BY80">
            <v>0</v>
          </cell>
          <cell r="CA80">
            <v>1047</v>
          </cell>
          <cell r="CB80">
            <v>44888</v>
          </cell>
          <cell r="CC80">
            <v>0</v>
          </cell>
          <cell r="CD80">
            <v>0</v>
          </cell>
          <cell r="CE80" t="str">
            <v/>
          </cell>
        </row>
        <row r="81">
          <cell r="A81">
            <v>78</v>
          </cell>
          <cell r="B81" t="str">
            <v>Вирусологическая неэффективность АРВТ</v>
          </cell>
          <cell r="C81" t="str">
            <v>976/13</v>
          </cell>
          <cell r="D81">
            <v>44860</v>
          </cell>
          <cell r="E81" t="str">
            <v>плазма</v>
          </cell>
          <cell r="F81" t="str">
            <v>женский</v>
          </cell>
          <cell r="G81">
            <v>33015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 t="str">
            <v>да</v>
          </cell>
          <cell r="Q81">
            <v>0</v>
          </cell>
          <cell r="R81" t="str">
            <v>Тюмень</v>
          </cell>
          <cell r="S81" t="str">
            <v>Тюменская область</v>
          </cell>
          <cell r="T81" t="str">
            <v>Уральский</v>
          </cell>
          <cell r="U81" t="str">
            <v>Россия</v>
          </cell>
          <cell r="V81" t="str">
            <v>Тюменская область</v>
          </cell>
          <cell r="W81" t="str">
            <v>Россия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44760</v>
          </cell>
          <cell r="AE81">
            <v>4300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 t="str">
            <v/>
          </cell>
          <cell r="BQ81" t="str">
            <v/>
          </cell>
          <cell r="BR81">
            <v>44866</v>
          </cell>
          <cell r="BS81">
            <v>74</v>
          </cell>
          <cell r="BT81">
            <v>0</v>
          </cell>
          <cell r="BU81">
            <v>0</v>
          </cell>
          <cell r="BV81">
            <v>0</v>
          </cell>
          <cell r="BW81">
            <v>0</v>
          </cell>
          <cell r="BX81">
            <v>0</v>
          </cell>
          <cell r="BY81">
            <v>0</v>
          </cell>
          <cell r="CA81">
            <v>1082</v>
          </cell>
          <cell r="CB81">
            <v>0</v>
          </cell>
          <cell r="CC81">
            <v>0</v>
          </cell>
          <cell r="CD81">
            <v>0</v>
          </cell>
          <cell r="CE81" t="str">
            <v>Билалова</v>
          </cell>
        </row>
        <row r="82">
          <cell r="A82">
            <v>79</v>
          </cell>
          <cell r="B82" t="str">
            <v>Вирусологическая неэффективность АРВТ</v>
          </cell>
          <cell r="C82">
            <v>29074</v>
          </cell>
          <cell r="D82">
            <v>44860</v>
          </cell>
          <cell r="E82" t="str">
            <v>плазма</v>
          </cell>
          <cell r="F82" t="str">
            <v>женский</v>
          </cell>
          <cell r="G82">
            <v>33414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 t="str">
            <v>да</v>
          </cell>
          <cell r="Q82">
            <v>0</v>
          </cell>
          <cell r="R82" t="str">
            <v>Тюмень</v>
          </cell>
          <cell r="S82" t="str">
            <v>Тюменская область</v>
          </cell>
          <cell r="T82" t="str">
            <v>Уральский</v>
          </cell>
          <cell r="U82" t="str">
            <v>Россия</v>
          </cell>
          <cell r="V82" t="str">
            <v>Тюменская область</v>
          </cell>
          <cell r="W82" t="str">
            <v>Россия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44852</v>
          </cell>
          <cell r="AE82">
            <v>1970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 t="str">
            <v/>
          </cell>
          <cell r="BQ82" t="str">
            <v/>
          </cell>
          <cell r="BR82">
            <v>44866</v>
          </cell>
          <cell r="BS82">
            <v>53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CA82">
            <v>1083</v>
          </cell>
          <cell r="CB82">
            <v>0</v>
          </cell>
          <cell r="CC82">
            <v>0</v>
          </cell>
          <cell r="CD82">
            <v>0</v>
          </cell>
          <cell r="CE82" t="str">
            <v>Билалова</v>
          </cell>
        </row>
        <row r="83">
          <cell r="A83">
            <v>80</v>
          </cell>
          <cell r="B83" t="str">
            <v>Вирусологическая неэффективность АРВТ</v>
          </cell>
          <cell r="C83">
            <v>14688</v>
          </cell>
          <cell r="D83">
            <v>44860</v>
          </cell>
          <cell r="E83" t="str">
            <v>плазма</v>
          </cell>
          <cell r="F83" t="str">
            <v>женский</v>
          </cell>
          <cell r="G83">
            <v>27030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 t="str">
            <v>да</v>
          </cell>
          <cell r="Q83">
            <v>0</v>
          </cell>
          <cell r="R83" t="str">
            <v>Тюмень</v>
          </cell>
          <cell r="S83" t="str">
            <v>Тюменская область</v>
          </cell>
          <cell r="T83" t="str">
            <v>Уральский</v>
          </cell>
          <cell r="U83" t="str">
            <v>Россия</v>
          </cell>
          <cell r="V83" t="str">
            <v>Тюменская область</v>
          </cell>
          <cell r="W83" t="str">
            <v>Россия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44852</v>
          </cell>
          <cell r="AE83">
            <v>26000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 t="str">
            <v/>
          </cell>
          <cell r="BQ83" t="str">
            <v/>
          </cell>
          <cell r="BR83">
            <v>44866</v>
          </cell>
          <cell r="BS83">
            <v>93</v>
          </cell>
          <cell r="BT83">
            <v>44867</v>
          </cell>
          <cell r="BU83">
            <v>44872</v>
          </cell>
          <cell r="BV83">
            <v>700</v>
          </cell>
          <cell r="BW83">
            <v>700</v>
          </cell>
          <cell r="BX83">
            <v>0</v>
          </cell>
          <cell r="BY83">
            <v>0</v>
          </cell>
          <cell r="CA83">
            <v>1048</v>
          </cell>
          <cell r="CB83">
            <v>44888</v>
          </cell>
          <cell r="CC83">
            <v>0</v>
          </cell>
          <cell r="CD83">
            <v>0</v>
          </cell>
          <cell r="CE83" t="str">
            <v/>
          </cell>
        </row>
        <row r="84">
          <cell r="A84">
            <v>81</v>
          </cell>
          <cell r="B84" t="str">
            <v>Вирусологическая неэффективность АРВТ</v>
          </cell>
          <cell r="C84" t="str">
            <v>_6/4144</v>
          </cell>
          <cell r="D84">
            <v>44860</v>
          </cell>
          <cell r="E84" t="str">
            <v>плазма</v>
          </cell>
          <cell r="F84" t="str">
            <v>женский</v>
          </cell>
          <cell r="G84">
            <v>33466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 t="str">
            <v>да</v>
          </cell>
          <cell r="Q84">
            <v>0</v>
          </cell>
          <cell r="R84" t="str">
            <v>Тюмень</v>
          </cell>
          <cell r="S84" t="str">
            <v>Тюменская область</v>
          </cell>
          <cell r="T84" t="str">
            <v>Уральский</v>
          </cell>
          <cell r="U84" t="str">
            <v>Россия</v>
          </cell>
          <cell r="V84" t="str">
            <v>Тюменская область</v>
          </cell>
          <cell r="W84" t="str">
            <v>Россия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44831</v>
          </cell>
          <cell r="AE84">
            <v>3500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 t="str">
            <v/>
          </cell>
          <cell r="BQ84" t="str">
            <v/>
          </cell>
          <cell r="BR84">
            <v>44866</v>
          </cell>
          <cell r="BS84">
            <v>160</v>
          </cell>
          <cell r="BT84">
            <v>44867</v>
          </cell>
          <cell r="BU84">
            <v>44872</v>
          </cell>
          <cell r="BV84">
            <v>700</v>
          </cell>
          <cell r="BW84">
            <v>700</v>
          </cell>
          <cell r="BX84">
            <v>0</v>
          </cell>
          <cell r="BY84">
            <v>0</v>
          </cell>
          <cell r="CA84">
            <v>1049</v>
          </cell>
          <cell r="CB84">
            <v>44889</v>
          </cell>
          <cell r="CC84">
            <v>0</v>
          </cell>
          <cell r="CD84">
            <v>0</v>
          </cell>
          <cell r="CE84" t="str">
            <v/>
          </cell>
        </row>
        <row r="85">
          <cell r="A85">
            <v>82</v>
          </cell>
          <cell r="B85" t="str">
            <v>Вирусологическая неэффективность АРВТ</v>
          </cell>
          <cell r="C85" t="str">
            <v>454а</v>
          </cell>
          <cell r="D85">
            <v>44860</v>
          </cell>
          <cell r="E85" t="str">
            <v>плазма</v>
          </cell>
          <cell r="F85" t="str">
            <v>женский</v>
          </cell>
          <cell r="G85">
            <v>29413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 t="str">
            <v>да</v>
          </cell>
          <cell r="Q85">
            <v>0</v>
          </cell>
          <cell r="R85" t="str">
            <v>Тюмень</v>
          </cell>
          <cell r="S85" t="str">
            <v>Тюменская область</v>
          </cell>
          <cell r="T85" t="str">
            <v>Уральский</v>
          </cell>
          <cell r="U85" t="str">
            <v>Россия</v>
          </cell>
          <cell r="V85" t="str">
            <v>Тюменская область</v>
          </cell>
          <cell r="W85" t="str">
            <v>Россия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44630</v>
          </cell>
          <cell r="AE85">
            <v>1300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 t="str">
            <v/>
          </cell>
          <cell r="BQ85" t="str">
            <v/>
          </cell>
          <cell r="BR85">
            <v>44866</v>
          </cell>
          <cell r="BS85">
            <v>241</v>
          </cell>
          <cell r="BT85">
            <v>44867</v>
          </cell>
          <cell r="BU85">
            <v>44872</v>
          </cell>
          <cell r="BV85">
            <v>700</v>
          </cell>
          <cell r="BW85">
            <v>700</v>
          </cell>
          <cell r="BX85">
            <v>0</v>
          </cell>
          <cell r="BY85">
            <v>0</v>
          </cell>
          <cell r="CA85">
            <v>1050</v>
          </cell>
          <cell r="CB85">
            <v>44888</v>
          </cell>
          <cell r="CC85">
            <v>0</v>
          </cell>
          <cell r="CD85">
            <v>0</v>
          </cell>
          <cell r="CE85" t="str">
            <v/>
          </cell>
        </row>
        <row r="86">
          <cell r="A86">
            <v>83</v>
          </cell>
          <cell r="B86" t="str">
            <v>Вирусологическая неэффективность АРВТ</v>
          </cell>
          <cell r="C86">
            <v>19582</v>
          </cell>
          <cell r="D86">
            <v>44860</v>
          </cell>
          <cell r="E86" t="str">
            <v>плазма</v>
          </cell>
          <cell r="F86" t="str">
            <v>мужской</v>
          </cell>
          <cell r="G86">
            <v>29851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 t="str">
            <v>да</v>
          </cell>
          <cell r="Q86">
            <v>0</v>
          </cell>
          <cell r="R86" t="str">
            <v>Тюмень</v>
          </cell>
          <cell r="S86" t="str">
            <v>Тюменская область</v>
          </cell>
          <cell r="T86" t="str">
            <v>Уральский</v>
          </cell>
          <cell r="U86" t="str">
            <v>Россия</v>
          </cell>
          <cell r="V86" t="str">
            <v>Тюменская область</v>
          </cell>
          <cell r="W86" t="str">
            <v>Россия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44770</v>
          </cell>
          <cell r="AE86">
            <v>500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 t="str">
            <v/>
          </cell>
          <cell r="BQ86" t="str">
            <v/>
          </cell>
          <cell r="BR86">
            <v>44866</v>
          </cell>
          <cell r="BS86">
            <v>0</v>
          </cell>
          <cell r="BT86">
            <v>0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  <cell r="CA86">
            <v>1084</v>
          </cell>
          <cell r="CB86">
            <v>0</v>
          </cell>
          <cell r="CC86">
            <v>0</v>
          </cell>
          <cell r="CD86">
            <v>0</v>
          </cell>
          <cell r="CE86" t="str">
            <v>Мартынов</v>
          </cell>
        </row>
        <row r="87">
          <cell r="A87">
            <v>84</v>
          </cell>
          <cell r="B87" t="str">
            <v>Исследование первичной резистентности ВИЧ</v>
          </cell>
          <cell r="C87">
            <v>3231</v>
          </cell>
          <cell r="D87">
            <v>44860</v>
          </cell>
          <cell r="E87" t="str">
            <v>плазма</v>
          </cell>
          <cell r="F87" t="str">
            <v>женский</v>
          </cell>
          <cell r="G87">
            <v>27202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 t="str">
            <v>нет</v>
          </cell>
          <cell r="Q87">
            <v>0</v>
          </cell>
          <cell r="R87" t="str">
            <v>Тюмень</v>
          </cell>
          <cell r="S87" t="str">
            <v>Тюменская область</v>
          </cell>
          <cell r="T87" t="str">
            <v>Уральский</v>
          </cell>
          <cell r="U87" t="str">
            <v>Россия</v>
          </cell>
          <cell r="V87" t="str">
            <v>Тюменская область</v>
          </cell>
          <cell r="W87" t="str">
            <v>Россия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44832</v>
          </cell>
          <cell r="AE87">
            <v>3400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 t="str">
            <v/>
          </cell>
          <cell r="BQ87" t="str">
            <v/>
          </cell>
          <cell r="BR87">
            <v>44866</v>
          </cell>
          <cell r="BS87">
            <v>114</v>
          </cell>
          <cell r="BT87">
            <v>44867</v>
          </cell>
          <cell r="BU87">
            <v>44872</v>
          </cell>
          <cell r="BV87">
            <v>700</v>
          </cell>
          <cell r="BW87">
            <v>700</v>
          </cell>
          <cell r="BX87">
            <v>0</v>
          </cell>
          <cell r="BY87">
            <v>0</v>
          </cell>
          <cell r="CA87">
            <v>1051</v>
          </cell>
          <cell r="CB87">
            <v>44888</v>
          </cell>
          <cell r="CC87">
            <v>0</v>
          </cell>
          <cell r="CD87">
            <v>0</v>
          </cell>
          <cell r="CE87" t="str">
            <v/>
          </cell>
        </row>
        <row r="88">
          <cell r="A88">
            <v>85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 t="str">
            <v/>
          </cell>
          <cell r="BQ88" t="str">
            <v/>
          </cell>
          <cell r="BR88" t="str">
            <v/>
          </cell>
          <cell r="BS88" t="str">
            <v/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CB88">
            <v>0</v>
          </cell>
          <cell r="CC88">
            <v>0</v>
          </cell>
          <cell r="CD88">
            <v>0</v>
          </cell>
          <cell r="CE88" t="str">
            <v/>
          </cell>
        </row>
        <row r="89">
          <cell r="A89">
            <v>86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 t="str">
            <v/>
          </cell>
          <cell r="BQ89" t="str">
            <v/>
          </cell>
          <cell r="BR89" t="str">
            <v/>
          </cell>
          <cell r="BS89" t="str">
            <v/>
          </cell>
          <cell r="BT89">
            <v>0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  <cell r="CB89">
            <v>0</v>
          </cell>
          <cell r="CC89">
            <v>0</v>
          </cell>
          <cell r="CD89">
            <v>0</v>
          </cell>
          <cell r="CE89" t="str">
            <v/>
          </cell>
        </row>
        <row r="90">
          <cell r="A90">
            <v>87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 t="str">
            <v/>
          </cell>
          <cell r="BQ90" t="str">
            <v/>
          </cell>
          <cell r="BR90" t="str">
            <v/>
          </cell>
          <cell r="BS90" t="str">
            <v/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  <cell r="CB90">
            <v>0</v>
          </cell>
          <cell r="CC90">
            <v>0</v>
          </cell>
          <cell r="CD90">
            <v>0</v>
          </cell>
          <cell r="CE90" t="str">
            <v/>
          </cell>
        </row>
        <row r="91">
          <cell r="A91">
            <v>88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 t="str">
            <v/>
          </cell>
          <cell r="BQ91" t="str">
            <v/>
          </cell>
          <cell r="BR91" t="str">
            <v/>
          </cell>
          <cell r="BS91" t="str">
            <v/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CB91">
            <v>0</v>
          </cell>
          <cell r="CC91">
            <v>0</v>
          </cell>
          <cell r="CD91">
            <v>0</v>
          </cell>
          <cell r="CE91" t="str">
            <v/>
          </cell>
        </row>
        <row r="92">
          <cell r="A92">
            <v>89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 t="str">
            <v/>
          </cell>
          <cell r="BQ92" t="str">
            <v/>
          </cell>
          <cell r="BR92" t="str">
            <v/>
          </cell>
          <cell r="BS92" t="str">
            <v/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CB92">
            <v>0</v>
          </cell>
          <cell r="CC92">
            <v>0</v>
          </cell>
          <cell r="CD92">
            <v>0</v>
          </cell>
          <cell r="CE92" t="str">
            <v/>
          </cell>
        </row>
        <row r="93">
          <cell r="A93">
            <v>90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 t="str">
            <v/>
          </cell>
          <cell r="BQ93" t="str">
            <v/>
          </cell>
          <cell r="BR93" t="str">
            <v/>
          </cell>
          <cell r="BS93" t="str">
            <v/>
          </cell>
          <cell r="BT93">
            <v>0</v>
          </cell>
          <cell r="BU93">
            <v>0</v>
          </cell>
          <cell r="BV93">
            <v>0</v>
          </cell>
          <cell r="BW93">
            <v>0</v>
          </cell>
          <cell r="BX93">
            <v>0</v>
          </cell>
          <cell r="BY93">
            <v>0</v>
          </cell>
          <cell r="CB93">
            <v>0</v>
          </cell>
          <cell r="CC93">
            <v>0</v>
          </cell>
          <cell r="CD93">
            <v>0</v>
          </cell>
          <cell r="CE93" t="str">
            <v/>
          </cell>
        </row>
        <row r="94">
          <cell r="A94">
            <v>91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 t="str">
            <v/>
          </cell>
          <cell r="BQ94" t="str">
            <v/>
          </cell>
          <cell r="BR94" t="str">
            <v/>
          </cell>
          <cell r="BS94" t="str">
            <v/>
          </cell>
          <cell r="BT94">
            <v>0</v>
          </cell>
          <cell r="BU94">
            <v>0</v>
          </cell>
          <cell r="BV94">
            <v>0</v>
          </cell>
          <cell r="BW94">
            <v>0</v>
          </cell>
          <cell r="BX94">
            <v>0</v>
          </cell>
          <cell r="BY94">
            <v>0</v>
          </cell>
          <cell r="CB94">
            <v>0</v>
          </cell>
          <cell r="CC94">
            <v>0</v>
          </cell>
          <cell r="CD94">
            <v>0</v>
          </cell>
          <cell r="CE94" t="str">
            <v/>
          </cell>
        </row>
        <row r="95">
          <cell r="A95">
            <v>92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 t="str">
            <v/>
          </cell>
          <cell r="BQ95" t="str">
            <v/>
          </cell>
          <cell r="BR95" t="str">
            <v/>
          </cell>
          <cell r="BS95" t="str">
            <v/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CB95">
            <v>0</v>
          </cell>
          <cell r="CC95">
            <v>0</v>
          </cell>
          <cell r="CD95">
            <v>0</v>
          </cell>
          <cell r="CE95" t="str">
            <v/>
          </cell>
        </row>
        <row r="96">
          <cell r="A96">
            <v>93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 t="str">
            <v/>
          </cell>
          <cell r="BQ96" t="str">
            <v/>
          </cell>
          <cell r="BR96" t="str">
            <v/>
          </cell>
          <cell r="BS96" t="str">
            <v/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CB96">
            <v>0</v>
          </cell>
          <cell r="CC96">
            <v>0</v>
          </cell>
          <cell r="CD96">
            <v>0</v>
          </cell>
          <cell r="CE96" t="str">
            <v/>
          </cell>
        </row>
        <row r="97">
          <cell r="A97">
            <v>94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 t="str">
            <v/>
          </cell>
          <cell r="BQ97" t="str">
            <v/>
          </cell>
          <cell r="BR97" t="str">
            <v/>
          </cell>
          <cell r="BS97" t="str">
            <v/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CB97">
            <v>0</v>
          </cell>
          <cell r="CC97">
            <v>0</v>
          </cell>
          <cell r="CD97">
            <v>0</v>
          </cell>
          <cell r="CE97" t="str">
            <v/>
          </cell>
        </row>
        <row r="98">
          <cell r="A98">
            <v>95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>
            <v>0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  <cell r="CB98">
            <v>0</v>
          </cell>
          <cell r="CC98">
            <v>0</v>
          </cell>
          <cell r="CD98">
            <v>0</v>
          </cell>
          <cell r="CE98" t="str">
            <v/>
          </cell>
        </row>
        <row r="99">
          <cell r="A99">
            <v>96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CB99">
            <v>0</v>
          </cell>
          <cell r="CC99">
            <v>0</v>
          </cell>
          <cell r="CD99">
            <v>0</v>
          </cell>
          <cell r="CE99" t="str">
            <v/>
          </cell>
        </row>
        <row r="100">
          <cell r="A100">
            <v>97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CB100">
            <v>0</v>
          </cell>
          <cell r="CC100">
            <v>0</v>
          </cell>
          <cell r="CD100">
            <v>0</v>
          </cell>
          <cell r="CE100" t="str">
            <v/>
          </cell>
        </row>
        <row r="101">
          <cell r="A101">
            <v>98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 t="str">
            <v/>
          </cell>
          <cell r="BQ101" t="str">
            <v/>
          </cell>
          <cell r="BR101" t="str">
            <v/>
          </cell>
          <cell r="BS101" t="str">
            <v/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CB101">
            <v>0</v>
          </cell>
          <cell r="CC101">
            <v>0</v>
          </cell>
          <cell r="CD101">
            <v>0</v>
          </cell>
          <cell r="CE101" t="str">
            <v/>
          </cell>
        </row>
        <row r="102">
          <cell r="A102">
            <v>99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 t="str">
            <v/>
          </cell>
          <cell r="BQ102" t="str">
            <v/>
          </cell>
          <cell r="BR102" t="str">
            <v/>
          </cell>
          <cell r="BS102" t="str">
            <v/>
          </cell>
          <cell r="BT102">
            <v>0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  <cell r="CB102">
            <v>0</v>
          </cell>
          <cell r="CC102">
            <v>0</v>
          </cell>
          <cell r="CD102">
            <v>0</v>
          </cell>
          <cell r="CE102" t="str">
            <v/>
          </cell>
        </row>
        <row r="103">
          <cell r="A103">
            <v>100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 t="str">
            <v/>
          </cell>
          <cell r="BQ103" t="str">
            <v/>
          </cell>
          <cell r="BR103" t="str">
            <v/>
          </cell>
          <cell r="BS103" t="str">
            <v/>
          </cell>
          <cell r="BT103">
            <v>0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  <cell r="CB103">
            <v>0</v>
          </cell>
          <cell r="CC103">
            <v>0</v>
          </cell>
          <cell r="CD103">
            <v>0</v>
          </cell>
          <cell r="CE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9"/>
      <queryTableField id="2" name="Уровень устойчивости" tableColumnId="10"/>
      <queryTableField id="3" name="Тип препарата" tableColumnId="11"/>
      <queryTableField id="4" name="ПН" tableColumnId="12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4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13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12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Поля" displayName="Поля" ref="Y1:AA10" totalsRowShown="0">
  <autoFilter ref="Y1:AA10"/>
  <tableColumns count="3">
    <tableColumn id="1" name="Поле"/>
    <tableColumn id="2" name="Строка"/>
    <tableColumn id="3" name="Столбец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МЛУ" displayName="МЛУ" ref="A1:D21" tableType="queryTable" totalsRowShown="0" headerRowDxfId="11" dataDxfId="10">
  <autoFilter ref="A1:D21"/>
  <tableColumns count="4">
    <tableColumn id="9" uniqueName="9" name="Название препарата" queryTableFieldId="1" dataDxfId="9"/>
    <tableColumn id="10" uniqueName="10" name="Уровень устойчивости" queryTableFieldId="2" dataDxfId="8"/>
    <tableColumn id="11" uniqueName="11" name="Тип препарата" queryTableFieldId="3" dataDxfId="7"/>
    <tableColumn id="12" uniqueName="12" name="ПН" queryTableFieldId="4" dataDxfId="6"/>
  </tableColumns>
  <tableStyleInfo name="TableStyleQueryResult" showFirstColumn="0" showLastColumn="0" showRowStripes="1" showColumnStripes="0"/>
</table>
</file>

<file path=xl/tables/table8.xml><?xml version="1.0" encoding="utf-8"?>
<table xmlns="http://schemas.openxmlformats.org/spreadsheetml/2006/main" id="7" name="Данные0" displayName="Данные0" ref="A1:K4" totalsRowShown="0" headerRowDxfId="1">
  <autoFilter ref="A1:K4"/>
  <tableColumns count="11">
    <tableColumn id="1" name="ID"/>
    <tableColumn id="3" name="Номер">
      <calculatedColumnFormula>TEXT(Данные0[ID],"00")&amp;"/"&amp;Данные0[ID пробы]</calculatedColumnFormula>
    </tableColumn>
    <tableColumn id="4" name="Дата забора">
      <calculatedColumnFormula>VLOOKUP(Данные0[ID],[1]Шаблон!$A$4:$CE$103,4,0)</calculatedColumnFormula>
    </tableColumn>
    <tableColumn id="5" name="ID пациента">
      <calculatedColumnFormula>VLOOKUP(Данные0[ID],[1]Шаблон!$A$4:$CE$103,3,0)</calculatedColumnFormula>
    </tableColumn>
    <tableColumn id="6" name="Дата рождения" dataDxfId="0">
      <calculatedColumnFormula>VLOOKUP(Данные0[ID],[1]Шаблон!$A$4:$CE$103,7,0)</calculatedColumnFormula>
    </tableColumn>
    <tableColumn id="7" name="Пол">
      <calculatedColumnFormula>VLOOKUP(Данные0[ID],[1]Шаблон!$A$4:$CE$103,6,0)</calculatedColumnFormula>
    </tableColumn>
    <tableColumn id="8" name="Дата заключения"/>
    <tableColumn id="9" name="Врач"/>
    <tableColumn id="10" name="Направившая организация"/>
    <tableColumn id="11" name="Вид материала"/>
    <tableColumn id="12" name="ID пробы">
      <calculatedColumnFormula>VLOOKUP(Данные0[ID],[1]Шаблон!$A$4:$CE$103,79,0)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21"/>
  <sheetViews>
    <sheetView topLeftCell="L1" workbookViewId="0">
      <selection activeCell="Y2" sqref="Y2:Y10"/>
    </sheetView>
  </sheetViews>
  <sheetFormatPr defaultRowHeight="15" x14ac:dyDescent="0.25"/>
  <cols>
    <col min="1" max="1" width="40.7109375" bestFit="1" customWidth="1"/>
    <col min="2" max="2" width="9.140625" customWidth="1"/>
    <col min="3" max="3" width="27" customWidth="1"/>
    <col min="4" max="4" width="30.85546875" bestFit="1" customWidth="1"/>
    <col min="5" max="11" width="40.7109375" customWidth="1"/>
    <col min="13" max="13" width="23" bestFit="1" customWidth="1"/>
    <col min="14" max="14" width="9.85546875" customWidth="1"/>
    <col min="16" max="16" width="9.42578125" customWidth="1"/>
    <col min="17" max="18" width="9.85546875" customWidth="1"/>
    <col min="20" max="20" width="9.42578125" customWidth="1"/>
    <col min="21" max="21" width="9.85546875" customWidth="1"/>
    <col min="26" max="26" width="9.42578125" customWidth="1"/>
    <col min="27" max="27" width="10.85546875" customWidth="1"/>
  </cols>
  <sheetData>
    <row r="1" spans="1:27" x14ac:dyDescent="0.25">
      <c r="A1" t="s">
        <v>0</v>
      </c>
      <c r="C1" s="13" t="s">
        <v>81</v>
      </c>
      <c r="D1" s="13" t="s">
        <v>82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  <c r="Y1" t="s">
        <v>105</v>
      </c>
      <c r="Z1" t="s">
        <v>106</v>
      </c>
      <c r="AA1" t="s">
        <v>107</v>
      </c>
    </row>
    <row r="2" spans="1:27" x14ac:dyDescent="0.25">
      <c r="A2" t="s">
        <v>93</v>
      </c>
      <c r="C2" t="s">
        <v>78</v>
      </c>
      <c r="D2" t="s">
        <v>62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  <c r="Y2" t="s">
        <v>109</v>
      </c>
      <c r="Z2">
        <v>4</v>
      </c>
      <c r="AA2">
        <v>1</v>
      </c>
    </row>
    <row r="3" spans="1:27" x14ac:dyDescent="0.25">
      <c r="C3" t="s">
        <v>83</v>
      </c>
      <c r="D3" s="14">
        <v>44791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  <c r="Y3" t="s">
        <v>108</v>
      </c>
      <c r="Z3">
        <v>5</v>
      </c>
      <c r="AA3">
        <v>1</v>
      </c>
    </row>
    <row r="4" spans="1:27" x14ac:dyDescent="0.25">
      <c r="C4" t="s">
        <v>84</v>
      </c>
      <c r="D4">
        <v>10013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  <c r="Y4" t="s">
        <v>110</v>
      </c>
      <c r="Z4">
        <v>6</v>
      </c>
      <c r="AA4">
        <v>1</v>
      </c>
    </row>
    <row r="5" spans="1:27" x14ac:dyDescent="0.25">
      <c r="C5" t="s">
        <v>72</v>
      </c>
      <c r="D5" s="14" t="s">
        <v>92</v>
      </c>
      <c r="M5" s="2" t="s">
        <v>3</v>
      </c>
      <c r="N5" t="s">
        <v>33</v>
      </c>
      <c r="T5" s="2" t="s">
        <v>14</v>
      </c>
      <c r="U5" t="s">
        <v>37</v>
      </c>
      <c r="Y5" t="s">
        <v>111</v>
      </c>
      <c r="Z5">
        <v>8</v>
      </c>
      <c r="AA5">
        <v>1</v>
      </c>
    </row>
    <row r="6" spans="1:27" x14ac:dyDescent="0.25">
      <c r="C6" t="s">
        <v>85</v>
      </c>
      <c r="D6" t="s">
        <v>86</v>
      </c>
      <c r="M6" s="2" t="s">
        <v>76</v>
      </c>
      <c r="N6" t="s">
        <v>75</v>
      </c>
      <c r="T6" s="2" t="s">
        <v>15</v>
      </c>
      <c r="U6" t="s">
        <v>38</v>
      </c>
      <c r="Y6" t="s">
        <v>112</v>
      </c>
      <c r="Z6">
        <v>8</v>
      </c>
      <c r="AA6">
        <v>4</v>
      </c>
    </row>
    <row r="7" spans="1:27" x14ac:dyDescent="0.25">
      <c r="C7" t="s">
        <v>91</v>
      </c>
      <c r="D7" s="14">
        <v>44876</v>
      </c>
      <c r="T7" s="2" t="s">
        <v>16</v>
      </c>
      <c r="U7" t="s">
        <v>39</v>
      </c>
      <c r="Y7" t="s">
        <v>113</v>
      </c>
      <c r="Z7">
        <v>39</v>
      </c>
      <c r="AA7">
        <v>1</v>
      </c>
    </row>
    <row r="8" spans="1:27" x14ac:dyDescent="0.25">
      <c r="C8" t="s">
        <v>79</v>
      </c>
      <c r="D8" t="s">
        <v>80</v>
      </c>
      <c r="T8" s="2" t="s">
        <v>22</v>
      </c>
      <c r="U8" t="s">
        <v>40</v>
      </c>
      <c r="Y8" t="s">
        <v>114</v>
      </c>
      <c r="Z8">
        <v>38</v>
      </c>
      <c r="AA8">
        <v>1</v>
      </c>
    </row>
    <row r="9" spans="1:27" x14ac:dyDescent="0.25">
      <c r="C9" t="s">
        <v>87</v>
      </c>
      <c r="D9" t="s">
        <v>88</v>
      </c>
      <c r="T9" s="2" t="s">
        <v>4</v>
      </c>
      <c r="U9" t="s">
        <v>41</v>
      </c>
      <c r="Y9" t="s">
        <v>87</v>
      </c>
      <c r="Z9">
        <v>9</v>
      </c>
      <c r="AA9">
        <v>1</v>
      </c>
    </row>
    <row r="10" spans="1:27" x14ac:dyDescent="0.25">
      <c r="C10" t="s">
        <v>89</v>
      </c>
      <c r="D10" t="s">
        <v>90</v>
      </c>
      <c r="T10" s="2" t="s">
        <v>24</v>
      </c>
      <c r="U10" t="s">
        <v>61</v>
      </c>
      <c r="Y10" t="s">
        <v>115</v>
      </c>
      <c r="Z10">
        <v>5</v>
      </c>
      <c r="AA10">
        <v>4</v>
      </c>
    </row>
    <row r="11" spans="1:27" x14ac:dyDescent="0.25">
      <c r="T11" s="2" t="s">
        <v>25</v>
      </c>
      <c r="U11" t="s">
        <v>42</v>
      </c>
    </row>
    <row r="12" spans="1:27" x14ac:dyDescent="0.25">
      <c r="T12" s="2" t="s">
        <v>5</v>
      </c>
      <c r="U12" t="s">
        <v>43</v>
      </c>
    </row>
    <row r="13" spans="1:27" x14ac:dyDescent="0.25">
      <c r="T13" s="2" t="s">
        <v>17</v>
      </c>
      <c r="U13" t="s">
        <v>44</v>
      </c>
    </row>
    <row r="14" spans="1:27" x14ac:dyDescent="0.25">
      <c r="T14" s="2" t="s">
        <v>6</v>
      </c>
      <c r="U14" t="s">
        <v>45</v>
      </c>
    </row>
    <row r="15" spans="1:27" x14ac:dyDescent="0.25">
      <c r="T15" s="2" t="s">
        <v>7</v>
      </c>
      <c r="U15" t="s">
        <v>46</v>
      </c>
    </row>
    <row r="16" spans="1:27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30.28515625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855468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30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30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30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30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31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30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32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30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30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31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31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view="pageBreakPreview" topLeftCell="A10" zoomScaleNormal="70" zoomScaleSheetLayoutView="100" workbookViewId="0">
      <selection activeCell="E16" sqref="E16:G16"/>
    </sheetView>
  </sheetViews>
  <sheetFormatPr defaultRowHeight="15" x14ac:dyDescent="0.25"/>
  <cols>
    <col min="1" max="1" width="29.7109375" customWidth="1"/>
    <col min="2" max="2" width="9" customWidth="1"/>
    <col min="3" max="3" width="14.140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20" t="s">
        <v>58</v>
      </c>
      <c r="B3" s="20"/>
      <c r="C3" s="20"/>
      <c r="D3" s="20"/>
      <c r="E3" s="20"/>
      <c r="F3" s="20"/>
      <c r="G3" s="20"/>
    </row>
    <row r="4" spans="1:7" ht="19.5" customHeight="1" x14ac:dyDescent="0.25">
      <c r="A4" s="20" t="str">
        <f>VLOOKUP("Номер",Данные[],2,0)</f>
        <v>№02/1002</v>
      </c>
      <c r="B4" s="20"/>
      <c r="C4" s="20"/>
      <c r="D4" s="20"/>
      <c r="E4" s="20"/>
      <c r="F4" s="20"/>
      <c r="G4" s="20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18.08.2022</v>
      </c>
      <c r="B5" s="11"/>
      <c r="C5" s="11"/>
      <c r="D5" s="11" t="s">
        <v>63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10013</v>
      </c>
      <c r="B6" s="11"/>
      <c r="C6" s="11"/>
      <c r="D6" s="11" t="s">
        <v>64</v>
      </c>
      <c r="E6" s="11"/>
      <c r="F6" s="11"/>
      <c r="G6" s="11"/>
    </row>
    <row r="7" spans="1:7" ht="20.100000000000001" customHeight="1" x14ac:dyDescent="0.3">
      <c r="A7" s="11" t="s">
        <v>71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 xml:space="preserve">Дата рождения:  </v>
      </c>
      <c r="B8" s="11"/>
      <c r="C8" s="11"/>
      <c r="D8" s="11" t="str">
        <f>"Пол: "&amp;VLOOKUP("Пол",Данные[],2,0)</f>
        <v>Пол: женский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73</v>
      </c>
      <c r="B10" s="11"/>
      <c r="C10" s="11"/>
      <c r="D10" s="11"/>
      <c r="E10" s="11"/>
      <c r="F10" s="11"/>
      <c r="G10" s="11"/>
    </row>
    <row r="11" spans="1:7" ht="53.2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4" t="s">
        <v>67</v>
      </c>
      <c r="B12" s="24"/>
      <c r="C12" s="24"/>
      <c r="D12" s="24"/>
      <c r="E12" s="24"/>
      <c r="F12" s="24"/>
      <c r="G12" s="10" t="s">
        <v>65</v>
      </c>
    </row>
    <row r="13" spans="1:7" ht="23.1" customHeight="1" x14ac:dyDescent="0.25">
      <c r="A13" s="23" t="s">
        <v>58</v>
      </c>
      <c r="B13" s="23"/>
      <c r="C13" s="23"/>
      <c r="D13" s="23"/>
      <c r="E13" s="23"/>
      <c r="F13" s="23"/>
      <c r="G13" s="5" t="s">
        <v>66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25" t="s">
        <v>56</v>
      </c>
      <c r="C15" s="25"/>
      <c r="D15" s="25"/>
      <c r="E15" s="25" t="s">
        <v>55</v>
      </c>
      <c r="F15" s="25"/>
      <c r="G15" s="25"/>
    </row>
    <row r="16" spans="1:7" ht="23.1" customHeight="1" x14ac:dyDescent="0.25">
      <c r="A16" s="21" t="s">
        <v>54</v>
      </c>
      <c r="B16" s="21" t="s">
        <v>36</v>
      </c>
      <c r="C16" s="21"/>
      <c r="D16" s="21"/>
      <c r="E16" s="21" t="str">
        <f>VLOOKUP(B16,МЛУ[],2,0)</f>
        <v>Чувствителен</v>
      </c>
      <c r="F16" s="21"/>
      <c r="G16" s="21"/>
    </row>
    <row r="17" spans="1:7" ht="23.1" customHeight="1" x14ac:dyDescent="0.25">
      <c r="A17" s="21"/>
      <c r="B17" s="21" t="s">
        <v>41</v>
      </c>
      <c r="C17" s="21"/>
      <c r="D17" s="21"/>
      <c r="E17" s="21" t="str">
        <f>VLOOKUP(B17,МЛУ[],2,0)</f>
        <v>Чувствителен</v>
      </c>
      <c r="F17" s="21"/>
      <c r="G17" s="21"/>
    </row>
    <row r="18" spans="1:7" ht="23.1" customHeight="1" x14ac:dyDescent="0.25">
      <c r="A18" s="21"/>
      <c r="B18" s="21" t="s">
        <v>43</v>
      </c>
      <c r="C18" s="21"/>
      <c r="D18" s="21"/>
      <c r="E18" s="21" t="str">
        <f>VLOOKUP(B18,МЛУ[],2,0)</f>
        <v>Чувствителен</v>
      </c>
      <c r="F18" s="21"/>
      <c r="G18" s="21"/>
    </row>
    <row r="19" spans="1:7" ht="23.1" customHeight="1" x14ac:dyDescent="0.25">
      <c r="A19" s="21"/>
      <c r="B19" s="21" t="s">
        <v>45</v>
      </c>
      <c r="C19" s="21"/>
      <c r="D19" s="21"/>
      <c r="E19" s="21" t="str">
        <f>VLOOKUP(B19,МЛУ[],2,0)</f>
        <v>Чувствителен</v>
      </c>
      <c r="F19" s="21"/>
      <c r="G19" s="21"/>
    </row>
    <row r="20" spans="1:7" ht="23.1" customHeight="1" x14ac:dyDescent="0.25">
      <c r="A20" s="21"/>
      <c r="B20" s="21" t="s">
        <v>46</v>
      </c>
      <c r="C20" s="21"/>
      <c r="D20" s="21"/>
      <c r="E20" s="21" t="str">
        <f>VLOOKUP(B20,МЛУ[],2,0)</f>
        <v>Чувствителен</v>
      </c>
      <c r="F20" s="21"/>
      <c r="G20" s="21"/>
    </row>
    <row r="21" spans="1:7" ht="23.1" customHeight="1" x14ac:dyDescent="0.25">
      <c r="A21" s="21"/>
      <c r="B21" s="21" t="s">
        <v>60</v>
      </c>
      <c r="C21" s="21"/>
      <c r="D21" s="21"/>
      <c r="E21" s="21" t="str">
        <f>VLOOKUP(B21,МЛУ[],2,0)</f>
        <v>Чувствителен</v>
      </c>
      <c r="F21" s="21"/>
      <c r="G21" s="21"/>
    </row>
    <row r="22" spans="1:7" ht="23.1" customHeight="1" x14ac:dyDescent="0.25">
      <c r="A22" s="21"/>
      <c r="B22" s="21" t="s">
        <v>49</v>
      </c>
      <c r="C22" s="21"/>
      <c r="D22" s="21"/>
      <c r="E22" s="21" t="str">
        <f>VLOOKUP(B22,МЛУ[],2,0)</f>
        <v>Чувствителен</v>
      </c>
      <c r="F22" s="21"/>
      <c r="G22" s="21"/>
    </row>
    <row r="23" spans="1:7" ht="23.1" customHeight="1" x14ac:dyDescent="0.25">
      <c r="A23" s="21"/>
      <c r="B23" s="21" t="s">
        <v>51</v>
      </c>
      <c r="C23" s="21"/>
      <c r="D23" s="21"/>
      <c r="E23" s="21" t="str">
        <f>VLOOKUP(B23,МЛУ[],2,0)</f>
        <v>Чувствителен</v>
      </c>
      <c r="F23" s="21"/>
      <c r="G23" s="21"/>
    </row>
    <row r="24" spans="1:7" ht="23.1" customHeight="1" x14ac:dyDescent="0.25">
      <c r="A24" s="21" t="s">
        <v>52</v>
      </c>
      <c r="B24" s="21" t="s">
        <v>50</v>
      </c>
      <c r="C24" s="21"/>
      <c r="D24" s="21"/>
      <c r="E24" s="21" t="str">
        <f>VLOOKUP(B24,МЛУ[],2,0)</f>
        <v>Средний уровень устойчивости</v>
      </c>
      <c r="F24" s="21"/>
      <c r="G24" s="21"/>
    </row>
    <row r="25" spans="1:7" ht="23.1" customHeight="1" x14ac:dyDescent="0.25">
      <c r="A25" s="21"/>
      <c r="B25" s="21" t="s">
        <v>44</v>
      </c>
      <c r="C25" s="21"/>
      <c r="D25" s="21"/>
      <c r="E25" s="21" t="str">
        <f>VLOOKUP(B25,МЛУ[],2,0)</f>
        <v>Высокий уровень устойчивости</v>
      </c>
      <c r="F25" s="21"/>
      <c r="G25" s="21"/>
    </row>
    <row r="26" spans="1:7" ht="23.1" customHeight="1" x14ac:dyDescent="0.25">
      <c r="A26" s="21"/>
      <c r="B26" s="21" t="s">
        <v>37</v>
      </c>
      <c r="C26" s="21"/>
      <c r="D26" s="21"/>
      <c r="E26" s="21" t="str">
        <f>VLOOKUP(B26,МЛУ[],2,0)</f>
        <v>Чувствителен</v>
      </c>
      <c r="F26" s="21"/>
      <c r="G26" s="21"/>
    </row>
    <row r="27" spans="1:7" ht="23.1" customHeight="1" x14ac:dyDescent="0.25">
      <c r="A27" s="21"/>
      <c r="B27" s="21" t="s">
        <v>38</v>
      </c>
      <c r="C27" s="21"/>
      <c r="D27" s="21"/>
      <c r="E27" s="21" t="str">
        <f>VLOOKUP(B27,МЛУ[],2,0)</f>
        <v>Высокий уровень устойчивости</v>
      </c>
      <c r="F27" s="21"/>
      <c r="G27" s="21"/>
    </row>
    <row r="28" spans="1:7" ht="23.1" customHeight="1" x14ac:dyDescent="0.25">
      <c r="A28" s="21"/>
      <c r="B28" s="21" t="s">
        <v>39</v>
      </c>
      <c r="C28" s="21"/>
      <c r="D28" s="21"/>
      <c r="E28" s="21" t="str">
        <f>VLOOKUP(B28,МЛУ[],2,0)</f>
        <v>Высокий уровень устойчивости</v>
      </c>
      <c r="F28" s="21"/>
      <c r="G28" s="21"/>
    </row>
    <row r="29" spans="1:7" ht="23.1" customHeight="1" x14ac:dyDescent="0.25">
      <c r="A29" s="21"/>
      <c r="B29" s="21" t="s">
        <v>34</v>
      </c>
      <c r="C29" s="21"/>
      <c r="D29" s="21"/>
      <c r="E29" s="21" t="str">
        <f>VLOOKUP(B29,МЛУ[],2,0)</f>
        <v>Высокий уровень устойчивости</v>
      </c>
      <c r="F29" s="21"/>
      <c r="G29" s="21"/>
    </row>
    <row r="30" spans="1:7" ht="23.1" customHeight="1" x14ac:dyDescent="0.25">
      <c r="A30" s="21"/>
      <c r="B30" s="21" t="s">
        <v>35</v>
      </c>
      <c r="C30" s="21"/>
      <c r="D30" s="21"/>
      <c r="E30" s="21" t="str">
        <f>VLOOKUP(B30,МЛУ[],2,0)</f>
        <v>Высокий уровень устойчивости</v>
      </c>
      <c r="F30" s="21"/>
      <c r="G30" s="21"/>
    </row>
    <row r="31" spans="1:7" ht="23.1" customHeight="1" x14ac:dyDescent="0.25">
      <c r="A31" s="21" t="s">
        <v>77</v>
      </c>
      <c r="B31" s="21" t="s">
        <v>48</v>
      </c>
      <c r="C31" s="21"/>
      <c r="D31" s="21"/>
      <c r="E31" s="21" t="str">
        <f>VLOOKUP(B31,МЛУ[],2,0)</f>
        <v>Высокий уровень устойчивости</v>
      </c>
      <c r="F31" s="21"/>
      <c r="G31" s="21"/>
    </row>
    <row r="32" spans="1:7" ht="23.1" customHeight="1" x14ac:dyDescent="0.25">
      <c r="A32" s="21"/>
      <c r="B32" s="21" t="s">
        <v>61</v>
      </c>
      <c r="C32" s="21"/>
      <c r="D32" s="21"/>
      <c r="E32" s="21" t="str">
        <f>VLOOKUP(B32,МЛУ[],2,0)</f>
        <v>Средний уровень устойчивости</v>
      </c>
      <c r="F32" s="21"/>
      <c r="G32" s="21"/>
    </row>
    <row r="33" spans="1:7" ht="23.1" customHeight="1" x14ac:dyDescent="0.25">
      <c r="A33" s="21"/>
      <c r="B33" s="21" t="s">
        <v>42</v>
      </c>
      <c r="C33" s="21"/>
      <c r="D33" s="21"/>
      <c r="E33" s="21" t="str">
        <f>VLOOKUP(B33,МЛУ[],2,0)</f>
        <v>Средний уровень устойчивости</v>
      </c>
      <c r="F33" s="21"/>
      <c r="G33" s="21"/>
    </row>
    <row r="34" spans="1:7" ht="23.1" customHeight="1" x14ac:dyDescent="0.25">
      <c r="A34" s="21"/>
      <c r="B34" s="21" t="s">
        <v>47</v>
      </c>
      <c r="C34" s="21"/>
      <c r="D34" s="21"/>
      <c r="E34" s="21" t="str">
        <f>VLOOKUP(B34,МЛУ[],2,0)</f>
        <v>Высокий уровень устойчивости</v>
      </c>
      <c r="F34" s="21"/>
      <c r="G34" s="21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69</v>
      </c>
      <c r="B36" s="6"/>
      <c r="C36" s="6"/>
      <c r="D36" s="6"/>
      <c r="E36" s="6"/>
      <c r="F36" s="22" t="s">
        <v>68</v>
      </c>
      <c r="G36" s="22"/>
    </row>
    <row r="37" spans="1:7" ht="18.75" customHeight="1" x14ac:dyDescent="0.3">
      <c r="A37" s="6" t="s">
        <v>70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Четверкина Наталья Евгеньевна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11.11.2022</v>
      </c>
      <c r="B39" s="6"/>
      <c r="C39" s="6"/>
      <c r="D39" s="19" t="s">
        <v>74</v>
      </c>
      <c r="E39" s="19"/>
      <c r="F39" s="19"/>
      <c r="G39" s="19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B15:D15"/>
    <mergeCell ref="B16:D16"/>
    <mergeCell ref="B17:D17"/>
    <mergeCell ref="B18:D18"/>
    <mergeCell ref="B19:D19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E27:G27"/>
    <mergeCell ref="E28:G28"/>
    <mergeCell ref="B28:D28"/>
    <mergeCell ref="B29:D29"/>
    <mergeCell ref="B30:D30"/>
    <mergeCell ref="E22:G22"/>
    <mergeCell ref="E23:G23"/>
    <mergeCell ref="E24:G24"/>
    <mergeCell ref="E25:G25"/>
    <mergeCell ref="E26:G26"/>
    <mergeCell ref="E17:G17"/>
    <mergeCell ref="E18:G18"/>
    <mergeCell ref="E19:G19"/>
    <mergeCell ref="E20:G20"/>
    <mergeCell ref="E21:G21"/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39"/>
  <sheetViews>
    <sheetView tabSelected="1" view="pageBreakPreview" zoomScaleNormal="70" zoomScaleSheetLayoutView="100" workbookViewId="0">
      <selection activeCell="N7" sqref="N7"/>
    </sheetView>
  </sheetViews>
  <sheetFormatPr defaultRowHeight="15" x14ac:dyDescent="0.25"/>
  <cols>
    <col min="1" max="1" width="29.7109375" customWidth="1"/>
    <col min="2" max="2" width="9" customWidth="1"/>
    <col min="3" max="3" width="14.140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1" spans="1:7" ht="114" customHeight="1" x14ac:dyDescent="0.35">
      <c r="A1" s="28"/>
      <c r="B1" s="28"/>
      <c r="C1" s="28"/>
      <c r="D1" s="28"/>
      <c r="E1" s="28"/>
      <c r="F1" s="28"/>
      <c r="G1" s="28"/>
    </row>
    <row r="2" spans="1:7" ht="24.75" customHeight="1" x14ac:dyDescent="0.3">
      <c r="A2" s="26" t="s">
        <v>96</v>
      </c>
      <c r="B2" s="26"/>
      <c r="C2" s="26"/>
      <c r="D2" s="26"/>
      <c r="E2" s="26"/>
      <c r="F2" s="26"/>
      <c r="G2" s="26"/>
    </row>
    <row r="3" spans="1:7" ht="22.5" customHeight="1" x14ac:dyDescent="0.25">
      <c r="A3" s="20" t="s">
        <v>58</v>
      </c>
      <c r="B3" s="20"/>
      <c r="C3" s="20"/>
      <c r="D3" s="20"/>
      <c r="E3" s="20"/>
      <c r="F3" s="20"/>
      <c r="G3" s="20"/>
    </row>
    <row r="4" spans="1:7" ht="19.5" customHeight="1" x14ac:dyDescent="0.25">
      <c r="A4" s="20" t="s">
        <v>121</v>
      </c>
      <c r="B4" s="20"/>
      <c r="C4" s="20"/>
      <c r="D4" s="20"/>
      <c r="E4" s="20"/>
      <c r="F4" s="20"/>
      <c r="G4" s="20"/>
    </row>
    <row r="5" spans="1:7" ht="20.100000000000001" customHeight="1" x14ac:dyDescent="0.3">
      <c r="A5" s="11" t="s">
        <v>116</v>
      </c>
      <c r="B5" s="11"/>
      <c r="C5" s="11"/>
      <c r="D5" s="11" t="s">
        <v>63</v>
      </c>
      <c r="E5" s="11"/>
      <c r="F5" s="11"/>
      <c r="G5" s="11"/>
    </row>
    <row r="6" spans="1:7" ht="20.100000000000001" customHeight="1" x14ac:dyDescent="0.3">
      <c r="A6" s="11" t="s">
        <v>122</v>
      </c>
      <c r="B6" s="11"/>
      <c r="C6" s="11"/>
      <c r="D6" s="11" t="s">
        <v>64</v>
      </c>
      <c r="E6" s="11"/>
      <c r="F6" s="11"/>
      <c r="G6" s="11"/>
    </row>
    <row r="7" spans="1:7" ht="20.100000000000001" customHeight="1" x14ac:dyDescent="0.3">
      <c r="A7" s="11" t="s">
        <v>71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">
        <v>123</v>
      </c>
      <c r="B8" s="11"/>
      <c r="C8" s="11"/>
      <c r="D8" s="11" t="s">
        <v>120</v>
      </c>
      <c r="E8" s="11"/>
      <c r="F8" s="11"/>
      <c r="G8" s="11"/>
    </row>
    <row r="9" spans="1:7" ht="20.100000000000001" customHeight="1" x14ac:dyDescent="0.3">
      <c r="A9" s="11" t="s">
        <v>119</v>
      </c>
      <c r="B9" s="11"/>
      <c r="C9" s="11"/>
      <c r="D9" s="11"/>
      <c r="E9" s="11"/>
      <c r="F9" s="11"/>
      <c r="G9" s="11"/>
    </row>
    <row r="10" spans="1:7" ht="7.5" customHeight="1" x14ac:dyDescent="0.25">
      <c r="A10" s="4"/>
      <c r="B10" s="4"/>
      <c r="C10" s="4"/>
      <c r="D10" s="4"/>
      <c r="E10" s="4"/>
      <c r="F10" s="4"/>
      <c r="G10" s="4"/>
    </row>
    <row r="11" spans="1:7" ht="23.1" customHeight="1" x14ac:dyDescent="0.25">
      <c r="A11" s="24" t="s">
        <v>67</v>
      </c>
      <c r="B11" s="24"/>
      <c r="C11" s="24"/>
      <c r="D11" s="24"/>
      <c r="E11" s="24"/>
      <c r="F11" s="24"/>
      <c r="G11" s="16" t="s">
        <v>65</v>
      </c>
    </row>
    <row r="12" spans="1:7" ht="23.1" customHeight="1" x14ac:dyDescent="0.25">
      <c r="A12" s="23" t="s">
        <v>58</v>
      </c>
      <c r="B12" s="23"/>
      <c r="C12" s="23"/>
      <c r="D12" s="23"/>
      <c r="E12" s="23"/>
      <c r="F12" s="23"/>
      <c r="G12" s="15" t="s">
        <v>95</v>
      </c>
    </row>
    <row r="13" spans="1:7" ht="6" customHeight="1" x14ac:dyDescent="0.3">
      <c r="A13" s="6"/>
      <c r="B13" s="6"/>
      <c r="C13" s="6"/>
      <c r="D13" s="6"/>
      <c r="E13" s="6"/>
      <c r="F13" s="6"/>
      <c r="G13" s="6"/>
    </row>
    <row r="14" spans="1:7" ht="23.1" customHeight="1" x14ac:dyDescent="0.25">
      <c r="A14" s="17" t="s">
        <v>57</v>
      </c>
      <c r="B14" s="25" t="s">
        <v>56</v>
      </c>
      <c r="C14" s="25"/>
      <c r="D14" s="25"/>
      <c r="E14" s="25" t="s">
        <v>55</v>
      </c>
      <c r="F14" s="25"/>
      <c r="G14" s="25"/>
    </row>
    <row r="15" spans="1:7" ht="23.1" customHeight="1" x14ac:dyDescent="0.25">
      <c r="A15" s="21" t="s">
        <v>54</v>
      </c>
      <c r="B15" s="21" t="s">
        <v>36</v>
      </c>
      <c r="C15" s="21"/>
      <c r="D15" s="21"/>
      <c r="E15" s="21" t="s">
        <v>94</v>
      </c>
      <c r="F15" s="21"/>
      <c r="G15" s="21"/>
    </row>
    <row r="16" spans="1:7" ht="23.1" customHeight="1" x14ac:dyDescent="0.25">
      <c r="A16" s="21"/>
      <c r="B16" s="21" t="s">
        <v>41</v>
      </c>
      <c r="C16" s="21"/>
      <c r="D16" s="21"/>
      <c r="E16" s="21" t="s">
        <v>94</v>
      </c>
      <c r="F16" s="21"/>
      <c r="G16" s="21"/>
    </row>
    <row r="17" spans="1:7" ht="23.1" customHeight="1" x14ac:dyDescent="0.25">
      <c r="A17" s="21"/>
      <c r="B17" s="21" t="s">
        <v>43</v>
      </c>
      <c r="C17" s="21"/>
      <c r="D17" s="21"/>
      <c r="E17" s="21" t="s">
        <v>94</v>
      </c>
      <c r="F17" s="21"/>
      <c r="G17" s="21"/>
    </row>
    <row r="18" spans="1:7" ht="23.1" customHeight="1" x14ac:dyDescent="0.25">
      <c r="A18" s="21"/>
      <c r="B18" s="21" t="s">
        <v>45</v>
      </c>
      <c r="C18" s="21"/>
      <c r="D18" s="21"/>
      <c r="E18" s="21" t="s">
        <v>94</v>
      </c>
      <c r="F18" s="21"/>
      <c r="G18" s="21"/>
    </row>
    <row r="19" spans="1:7" ht="23.1" customHeight="1" x14ac:dyDescent="0.25">
      <c r="A19" s="21"/>
      <c r="B19" s="21" t="s">
        <v>46</v>
      </c>
      <c r="C19" s="21"/>
      <c r="D19" s="21"/>
      <c r="E19" s="21" t="s">
        <v>94</v>
      </c>
      <c r="F19" s="21"/>
      <c r="G19" s="21"/>
    </row>
    <row r="20" spans="1:7" ht="23.1" customHeight="1" x14ac:dyDescent="0.25">
      <c r="A20" s="21"/>
      <c r="B20" s="21" t="s">
        <v>60</v>
      </c>
      <c r="C20" s="21"/>
      <c r="D20" s="21"/>
      <c r="E20" s="21" t="s">
        <v>94</v>
      </c>
      <c r="F20" s="21"/>
      <c r="G20" s="21"/>
    </row>
    <row r="21" spans="1:7" ht="23.1" customHeight="1" x14ac:dyDescent="0.25">
      <c r="A21" s="21"/>
      <c r="B21" s="21" t="s">
        <v>49</v>
      </c>
      <c r="C21" s="21"/>
      <c r="D21" s="21"/>
      <c r="E21" s="21" t="s">
        <v>94</v>
      </c>
      <c r="F21" s="21"/>
      <c r="G21" s="21"/>
    </row>
    <row r="22" spans="1:7" ht="23.1" customHeight="1" x14ac:dyDescent="0.25">
      <c r="A22" s="21"/>
      <c r="B22" s="21" t="s">
        <v>51</v>
      </c>
      <c r="C22" s="21"/>
      <c r="D22" s="21"/>
      <c r="E22" s="21" t="s">
        <v>94</v>
      </c>
      <c r="F22" s="21"/>
      <c r="G22" s="21"/>
    </row>
    <row r="23" spans="1:7" ht="23.1" customHeight="1" x14ac:dyDescent="0.25">
      <c r="A23" s="21" t="s">
        <v>52</v>
      </c>
      <c r="B23" s="21" t="s">
        <v>50</v>
      </c>
      <c r="C23" s="21"/>
      <c r="D23" s="21"/>
      <c r="E23" s="21" t="s">
        <v>94</v>
      </c>
      <c r="F23" s="21"/>
      <c r="G23" s="21"/>
    </row>
    <row r="24" spans="1:7" ht="23.1" customHeight="1" x14ac:dyDescent="0.25">
      <c r="A24" s="21"/>
      <c r="B24" s="21" t="s">
        <v>44</v>
      </c>
      <c r="C24" s="21"/>
      <c r="D24" s="21"/>
      <c r="E24" s="21" t="s">
        <v>94</v>
      </c>
      <c r="F24" s="21"/>
      <c r="G24" s="21"/>
    </row>
    <row r="25" spans="1:7" ht="23.1" customHeight="1" x14ac:dyDescent="0.25">
      <c r="A25" s="21"/>
      <c r="B25" s="21" t="s">
        <v>37</v>
      </c>
      <c r="C25" s="21"/>
      <c r="D25" s="21"/>
      <c r="E25" s="21" t="s">
        <v>94</v>
      </c>
      <c r="F25" s="21"/>
      <c r="G25" s="21"/>
    </row>
    <row r="26" spans="1:7" ht="23.1" customHeight="1" x14ac:dyDescent="0.25">
      <c r="A26" s="21"/>
      <c r="B26" s="21" t="s">
        <v>38</v>
      </c>
      <c r="C26" s="21"/>
      <c r="D26" s="21"/>
      <c r="E26" s="21" t="s">
        <v>94</v>
      </c>
      <c r="F26" s="21"/>
      <c r="G26" s="21"/>
    </row>
    <row r="27" spans="1:7" ht="23.1" customHeight="1" x14ac:dyDescent="0.25">
      <c r="A27" s="21"/>
      <c r="B27" s="21" t="s">
        <v>39</v>
      </c>
      <c r="C27" s="21"/>
      <c r="D27" s="21"/>
      <c r="E27" s="21" t="s">
        <v>94</v>
      </c>
      <c r="F27" s="21"/>
      <c r="G27" s="21"/>
    </row>
    <row r="28" spans="1:7" ht="23.1" customHeight="1" x14ac:dyDescent="0.25">
      <c r="A28" s="21"/>
      <c r="B28" s="21" t="s">
        <v>34</v>
      </c>
      <c r="C28" s="21"/>
      <c r="D28" s="21"/>
      <c r="E28" s="21" t="s">
        <v>94</v>
      </c>
      <c r="F28" s="21"/>
      <c r="G28" s="21"/>
    </row>
    <row r="29" spans="1:7" ht="23.1" customHeight="1" x14ac:dyDescent="0.25">
      <c r="A29" s="21"/>
      <c r="B29" s="21" t="s">
        <v>35</v>
      </c>
      <c r="C29" s="21"/>
      <c r="D29" s="21"/>
      <c r="E29" s="21" t="s">
        <v>94</v>
      </c>
      <c r="F29" s="21"/>
      <c r="G29" s="21"/>
    </row>
    <row r="30" spans="1:7" ht="23.1" customHeight="1" x14ac:dyDescent="0.25">
      <c r="A30" s="21" t="s">
        <v>77</v>
      </c>
      <c r="B30" s="21" t="s">
        <v>48</v>
      </c>
      <c r="C30" s="21"/>
      <c r="D30" s="21"/>
      <c r="E30" s="21" t="s">
        <v>94</v>
      </c>
      <c r="F30" s="21"/>
      <c r="G30" s="21"/>
    </row>
    <row r="31" spans="1:7" ht="23.1" customHeight="1" x14ac:dyDescent="0.25">
      <c r="A31" s="21"/>
      <c r="B31" s="21" t="s">
        <v>61</v>
      </c>
      <c r="C31" s="21"/>
      <c r="D31" s="21"/>
      <c r="E31" s="21" t="s">
        <v>94</v>
      </c>
      <c r="F31" s="21"/>
      <c r="G31" s="21"/>
    </row>
    <row r="32" spans="1:7" ht="23.1" customHeight="1" x14ac:dyDescent="0.25">
      <c r="A32" s="21"/>
      <c r="B32" s="21" t="s">
        <v>42</v>
      </c>
      <c r="C32" s="21"/>
      <c r="D32" s="21"/>
      <c r="E32" s="21" t="s">
        <v>94</v>
      </c>
      <c r="F32" s="21"/>
      <c r="G32" s="21"/>
    </row>
    <row r="33" spans="1:7" ht="23.1" customHeight="1" x14ac:dyDescent="0.25">
      <c r="A33" s="21"/>
      <c r="B33" s="21" t="s">
        <v>47</v>
      </c>
      <c r="C33" s="21"/>
      <c r="D33" s="21"/>
      <c r="E33" s="21" t="s">
        <v>94</v>
      </c>
      <c r="F33" s="21"/>
      <c r="G33" s="21"/>
    </row>
    <row r="34" spans="1:7" ht="40.5" customHeight="1" x14ac:dyDescent="0.25">
      <c r="A34" s="27" t="s">
        <v>97</v>
      </c>
      <c r="B34" s="27"/>
      <c r="C34" s="27"/>
      <c r="D34" s="27"/>
      <c r="E34" s="27"/>
      <c r="F34" s="27"/>
      <c r="G34" s="27"/>
    </row>
    <row r="35" spans="1:7" ht="20.100000000000001" customHeight="1" x14ac:dyDescent="0.3">
      <c r="A35" s="11" t="s">
        <v>124</v>
      </c>
      <c r="B35" s="11"/>
      <c r="C35" s="11"/>
      <c r="D35" s="11"/>
      <c r="E35" s="11"/>
      <c r="F35" s="11"/>
      <c r="G35" s="11"/>
    </row>
    <row r="36" spans="1:7" ht="17.25" customHeight="1" x14ac:dyDescent="0.3">
      <c r="A36" s="6" t="s">
        <v>118</v>
      </c>
      <c r="B36" s="6"/>
      <c r="C36" s="6"/>
      <c r="D36" s="6"/>
      <c r="E36" s="6"/>
      <c r="F36" s="6"/>
      <c r="G36" s="6"/>
    </row>
    <row r="37" spans="1:7" ht="24" customHeight="1" x14ac:dyDescent="0.3">
      <c r="A37" s="6" t="s">
        <v>117</v>
      </c>
      <c r="B37" s="6"/>
      <c r="C37" s="6"/>
      <c r="D37" s="19" t="s">
        <v>74</v>
      </c>
      <c r="E37" s="19"/>
      <c r="F37" s="19"/>
      <c r="G37" s="19"/>
    </row>
    <row r="38" spans="1:7" ht="21.75" customHeight="1" x14ac:dyDescent="0.25">
      <c r="A38" s="3" t="s">
        <v>118</v>
      </c>
      <c r="B38" s="3"/>
      <c r="C38" s="3"/>
      <c r="D38" s="3"/>
      <c r="E38" s="3"/>
      <c r="F38" s="3"/>
      <c r="G38" s="3"/>
    </row>
    <row r="39" spans="1:7" x14ac:dyDescent="0.25">
      <c r="A39" s="3" t="s">
        <v>117</v>
      </c>
      <c r="B39" s="3"/>
      <c r="C39" s="3"/>
      <c r="D39" s="3"/>
      <c r="E39" s="3"/>
      <c r="F39" s="3"/>
      <c r="G39" s="3"/>
    </row>
  </sheetData>
  <mergeCells count="51">
    <mergeCell ref="A2:G2"/>
    <mergeCell ref="A3:G3"/>
    <mergeCell ref="A4:G4"/>
    <mergeCell ref="A11:F11"/>
    <mergeCell ref="A12:F12"/>
    <mergeCell ref="B14:D14"/>
    <mergeCell ref="E14:G14"/>
    <mergeCell ref="B22:D22"/>
    <mergeCell ref="E22:G22"/>
    <mergeCell ref="A15:A22"/>
    <mergeCell ref="B15:D15"/>
    <mergeCell ref="E15:G15"/>
    <mergeCell ref="B16:D16"/>
    <mergeCell ref="E16:G16"/>
    <mergeCell ref="B17:D17"/>
    <mergeCell ref="E17:G17"/>
    <mergeCell ref="B18:D18"/>
    <mergeCell ref="E18:G18"/>
    <mergeCell ref="B19:D19"/>
    <mergeCell ref="E19:G19"/>
    <mergeCell ref="B20:D20"/>
    <mergeCell ref="E20:G20"/>
    <mergeCell ref="B21:D21"/>
    <mergeCell ref="E21:G21"/>
    <mergeCell ref="D37:G37"/>
    <mergeCell ref="E27:G27"/>
    <mergeCell ref="B28:D28"/>
    <mergeCell ref="E28:G28"/>
    <mergeCell ref="B29:D29"/>
    <mergeCell ref="E29:G29"/>
    <mergeCell ref="B30:D30"/>
    <mergeCell ref="E30:G30"/>
    <mergeCell ref="B31:D31"/>
    <mergeCell ref="E31:G31"/>
    <mergeCell ref="B27:D27"/>
    <mergeCell ref="A1:G1"/>
    <mergeCell ref="A34:G34"/>
    <mergeCell ref="B32:D32"/>
    <mergeCell ref="E32:G32"/>
    <mergeCell ref="B33:D33"/>
    <mergeCell ref="E33:G33"/>
    <mergeCell ref="A30:A33"/>
    <mergeCell ref="A23:A29"/>
    <mergeCell ref="B23:D23"/>
    <mergeCell ref="E23:G23"/>
    <mergeCell ref="B24:D24"/>
    <mergeCell ref="E24:G24"/>
    <mergeCell ref="B25:D25"/>
    <mergeCell ref="E25:G25"/>
    <mergeCell ref="B26:D26"/>
    <mergeCell ref="E26:G26"/>
  </mergeCells>
  <conditionalFormatting sqref="E15:F15">
    <cfRule type="cellIs" dxfId="3" priority="3" operator="equal">
      <formula>"""Высокий уровень устойчивости"""</formula>
    </cfRule>
  </conditionalFormatting>
  <conditionalFormatting sqref="E16:F33">
    <cfRule type="cellIs" dxfId="2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87" fitToWidth="0" fitToHeight="0" orientation="portrait" r:id="rId1"/>
  <colBreaks count="1" manualBreakCount="1">
    <brk id="8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K5"/>
  <sheetViews>
    <sheetView workbookViewId="0">
      <selection activeCell="A5" sqref="A5"/>
    </sheetView>
  </sheetViews>
  <sheetFormatPr defaultRowHeight="15" x14ac:dyDescent="0.25"/>
  <cols>
    <col min="1" max="1" width="7.140625" bestFit="1" customWidth="1"/>
    <col min="2" max="2" width="10" bestFit="1" customWidth="1"/>
    <col min="3" max="3" width="14.28515625" bestFit="1" customWidth="1"/>
    <col min="4" max="4" width="14.140625" bestFit="1" customWidth="1"/>
    <col min="5" max="5" width="17.7109375" bestFit="1" customWidth="1"/>
    <col min="6" max="6" width="6.85546875" bestFit="1" customWidth="1"/>
    <col min="7" max="7" width="19.140625" bestFit="1" customWidth="1"/>
    <col min="8" max="8" width="30.85546875" bestFit="1" customWidth="1"/>
    <col min="9" max="9" width="28" bestFit="1" customWidth="1"/>
    <col min="10" max="10" width="17.42578125" bestFit="1" customWidth="1"/>
  </cols>
  <sheetData>
    <row r="1" spans="1:11" x14ac:dyDescent="0.25">
      <c r="A1" s="13" t="s">
        <v>98</v>
      </c>
      <c r="B1" s="13" t="s">
        <v>78</v>
      </c>
      <c r="C1" s="13" t="s">
        <v>99</v>
      </c>
      <c r="D1" s="13" t="s">
        <v>100</v>
      </c>
      <c r="E1" s="13" t="s">
        <v>101</v>
      </c>
      <c r="F1" s="13" t="s">
        <v>85</v>
      </c>
      <c r="G1" s="13" t="s">
        <v>91</v>
      </c>
      <c r="H1" s="13" t="s">
        <v>79</v>
      </c>
      <c r="I1" s="13" t="s">
        <v>102</v>
      </c>
      <c r="J1" s="13" t="s">
        <v>103</v>
      </c>
      <c r="K1" s="13" t="s">
        <v>104</v>
      </c>
    </row>
    <row r="2" spans="1:11" x14ac:dyDescent="0.25">
      <c r="A2">
        <v>50</v>
      </c>
      <c r="B2" t="str">
        <f>TEXT(Данные0[ID],"00")&amp;"/"&amp;Данные0[ID пробы]</f>
        <v>50/1052</v>
      </c>
      <c r="C2" s="14">
        <f>VLOOKUP(Данные0[ID],[1]Шаблон!$A$4:$CE$103,4,0)</f>
        <v>44859</v>
      </c>
      <c r="D2">
        <f>VLOOKUP(Данные0[ID],[1]Шаблон!$A$4:$CE$103,3,0)</f>
        <v>9063</v>
      </c>
      <c r="E2" s="14">
        <f>VLOOKUP(Данные0[ID],[1]Шаблон!$A$4:$CE$103,7,0)</f>
        <v>22704</v>
      </c>
      <c r="F2" t="str">
        <f>VLOOKUP(Данные0[ID],[1]Шаблон!$A$4:$CE$103,6,0)</f>
        <v>мужской</v>
      </c>
      <c r="G2" s="14">
        <v>44876</v>
      </c>
      <c r="H2" t="s">
        <v>80</v>
      </c>
      <c r="I2" t="s">
        <v>88</v>
      </c>
      <c r="J2" t="s">
        <v>90</v>
      </c>
      <c r="K2">
        <f>VLOOKUP(Данные0[ID],[1]Шаблон!$A$4:$CE$103,79,0)</f>
        <v>1052</v>
      </c>
    </row>
    <row r="3" spans="1:11" x14ac:dyDescent="0.25">
      <c r="A3">
        <v>54</v>
      </c>
      <c r="B3" t="str">
        <f>TEXT(Данные0[ID],"00")&amp;"/"&amp;Данные0[ID пробы]</f>
        <v>54/1053</v>
      </c>
      <c r="C3" s="14">
        <f>VLOOKUP(Данные0[ID],[1]Шаблон!$A$4:$CE$103,4,0)</f>
        <v>44859</v>
      </c>
      <c r="D3">
        <f>VLOOKUP(Данные0[ID],[1]Шаблон!$A$4:$CE$103,3,0)</f>
        <v>17688</v>
      </c>
      <c r="E3" s="14">
        <f>VLOOKUP(Данные0[ID],[1]Шаблон!$A$4:$CE$103,7,0)</f>
        <v>31767</v>
      </c>
      <c r="F3" t="str">
        <f>VLOOKUP(Данные0[ID],[1]Шаблон!$A$4:$CE$103,6,0)</f>
        <v>женский</v>
      </c>
      <c r="G3" s="14">
        <v>44876</v>
      </c>
      <c r="H3" t="s">
        <v>80</v>
      </c>
      <c r="I3" t="s">
        <v>88</v>
      </c>
      <c r="J3" t="s">
        <v>90</v>
      </c>
      <c r="K3">
        <f>VLOOKUP(Данные0[ID],[1]Шаблон!$A$4:$CE$103,79,0)</f>
        <v>1053</v>
      </c>
    </row>
    <row r="4" spans="1:11" x14ac:dyDescent="0.25">
      <c r="A4">
        <v>57</v>
      </c>
      <c r="B4" t="str">
        <f>TEXT(Данные0[ID],"00")&amp;"/"&amp;Данные0[ID пробы]</f>
        <v>57/1054</v>
      </c>
      <c r="C4" s="14">
        <f>VLOOKUP(Данные0[ID],[1]Шаблон!$A$4:$CE$103,4,0)</f>
        <v>44859</v>
      </c>
      <c r="D4">
        <f>VLOOKUP(Данные0[ID],[1]Шаблон!$A$4:$CE$103,3,0)</f>
        <v>13899</v>
      </c>
      <c r="E4" s="14">
        <f>VLOOKUP(Данные0[ID],[1]Шаблон!$A$4:$CE$103,7,0)</f>
        <v>31684</v>
      </c>
      <c r="F4" t="str">
        <f>VLOOKUP(Данные0[ID],[1]Шаблон!$A$4:$CE$103,6,0)</f>
        <v>мужской</v>
      </c>
      <c r="G4" s="14">
        <v>44876</v>
      </c>
      <c r="H4" t="s">
        <v>80</v>
      </c>
      <c r="I4" t="s">
        <v>88</v>
      </c>
      <c r="J4" t="s">
        <v>90</v>
      </c>
      <c r="K4">
        <f>VLOOKUP(Данные0[ID],[1]Шаблон!$A$4:$CE$103,79,0)</f>
        <v>1054</v>
      </c>
    </row>
    <row r="5" spans="1:11" x14ac:dyDescent="0.25">
      <c r="C5" s="1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DAF1AA-BE88-45A1-8BD2-281FE0E48B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S</vt:lpstr>
      <vt:lpstr>Лист2</vt:lpstr>
      <vt:lpstr>Отчет</vt:lpstr>
      <vt:lpstr>Отчет0</vt:lpstr>
      <vt:lpstr>Список0</vt:lpstr>
      <vt:lpstr>Отчет!Область_печати</vt:lpstr>
      <vt:lpstr>Отчет0!Область_печати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2022-11-28T11:49:39Z</cp:lastPrinted>
  <dcterms:created xsi:type="dcterms:W3CDTF">2022-11-21T11:31:48Z</dcterms:created>
  <dcterms:modified xsi:type="dcterms:W3CDTF">2023-08-01T05:04:16Z</dcterms:modified>
</cp:coreProperties>
</file>