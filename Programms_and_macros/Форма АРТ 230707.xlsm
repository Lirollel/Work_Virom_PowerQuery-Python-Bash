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Y:\auto\Форма АРТ\"/>
    </mc:Choice>
  </mc:AlternateContent>
  <xr:revisionPtr revIDLastSave="0" documentId="13_ncr:1_{A973A991-8429-4B12-AEE2-4D405BED10A9}" xr6:coauthVersionLast="47" xr6:coauthVersionMax="47" xr10:uidLastSave="{00000000-0000-0000-0000-000000000000}"/>
  <bookViews>
    <workbookView xWindow="-120" yWindow="-120" windowWidth="19440" windowHeight="10440" xr2:uid="{00000000-000D-0000-FFFF-FFFF00000000}"/>
  </bookViews>
  <sheets>
    <sheet name="Лист1" sheetId="1" r:id="rId1"/>
    <sheet name="АРВП" sheetId="4" r:id="rId2"/>
  </sheets>
  <externalReferences>
    <externalReference r:id="rId3"/>
  </externalReferences>
  <definedNames>
    <definedName name="Город">'[1]Город Регион Округ'!$B$3:$B$1119</definedName>
    <definedName name="ДН">[1]Перечни!$G$2:$G$3</definedName>
    <definedName name="Код1">'[1]Код обследования'!$B$3:$B$22</definedName>
    <definedName name="Код2">'[1]Код инфицирования'!$B$3:$B$15</definedName>
    <definedName name="Материал">[1]Перечни!$B$2:$B$4</definedName>
    <definedName name="МЛС">[1]Перечни!$E$2:$E$4</definedName>
    <definedName name="Пол">[1]Перечни!$C$2:$C$3</definedName>
    <definedName name="ППП">[1]Перечни!$F$2:$F$5</definedName>
    <definedName name="Приверж">[1]Перечни!$I$2:$I$4</definedName>
    <definedName name="Причина">[1]Перечни!$A$2:$A$3</definedName>
    <definedName name="ПутьИнф">[1]Перечни!$D$2:$D$9</definedName>
    <definedName name="Регионы">'[1]Город Регион Округ'!$G$3:$G$87</definedName>
    <definedName name="Стадия">[1]Перечни!$H$2:$H$9</definedName>
    <definedName name="ФО">'[1]Город Регион Округ'!$I$3:$I$10</definedName>
  </definedNames>
  <calcPr calcId="191029"/>
</workbook>
</file>

<file path=xl/calcChain.xml><?xml version="1.0" encoding="utf-8"?>
<calcChain xmlns="http://schemas.openxmlformats.org/spreadsheetml/2006/main">
  <c r="M104" i="4" l="1"/>
  <c r="N104" i="4" s="1"/>
  <c r="P97" i="4"/>
  <c r="L97" i="4"/>
  <c r="P104" i="4" l="1"/>
  <c r="L98" i="4"/>
  <c r="P98" i="4" l="1"/>
  <c r="AW2" i="4"/>
  <c r="AX2" i="4" s="1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2" i="4"/>
  <c r="AF2" i="4" s="1"/>
  <c r="AA11" i="4" l="1"/>
  <c r="AA10" i="4"/>
  <c r="AA9" i="4"/>
  <c r="AA8" i="4"/>
  <c r="AA7" i="4"/>
  <c r="AA6" i="4"/>
  <c r="AA5" i="4"/>
  <c r="AA4" i="4"/>
  <c r="AA3" i="4"/>
  <c r="AA2" i="4"/>
  <c r="AT2" i="4"/>
  <c r="AB11" i="4"/>
  <c r="AB10" i="4"/>
  <c r="AB9" i="4"/>
  <c r="AB8" i="4"/>
  <c r="AB7" i="4"/>
  <c r="AB6" i="4"/>
  <c r="AB5" i="4"/>
  <c r="AB4" i="4"/>
  <c r="AB3" i="4"/>
  <c r="AB2" i="4"/>
  <c r="AS2" i="4"/>
  <c r="AC11" i="4" l="1"/>
  <c r="AC5" i="4"/>
  <c r="AC6" i="4"/>
  <c r="AC7" i="4"/>
  <c r="AC2" i="4"/>
  <c r="AC8" i="4"/>
  <c r="AC3" i="4"/>
  <c r="AC9" i="4"/>
  <c r="AC4" i="4"/>
  <c r="AC10" i="4"/>
  <c r="AU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Михаил</author>
    <author>Питерский Михаил Валерьевич</author>
  </authors>
  <commentList>
    <comment ref="AU1" authorId="0" shapeId="0" xr:uid="{EF9687FA-E0A5-4B40-B81C-94AB045F2102}">
      <text>
        <r>
          <rPr>
            <b/>
            <sz val="9"/>
            <color indexed="81"/>
            <rFont val="Tahoma"/>
            <family val="2"/>
            <charset val="204"/>
          </rPr>
          <t>Михаил:</t>
        </r>
        <r>
          <rPr>
            <sz val="9"/>
            <color indexed="81"/>
            <rFont val="Tahoma"/>
            <family val="2"/>
            <charset val="204"/>
          </rPr>
          <t xml:space="preserve">
для верхнего Label</t>
        </r>
      </text>
    </comment>
    <comment ref="AV1" authorId="0" shapeId="0" xr:uid="{056DB8EB-E501-4453-93C7-0FC1B4AC0F6A}">
      <text>
        <r>
          <rPr>
            <b/>
            <sz val="9"/>
            <color indexed="81"/>
            <rFont val="Tahoma"/>
            <family val="2"/>
            <charset val="204"/>
          </rPr>
          <t>Михаил:</t>
        </r>
        <r>
          <rPr>
            <sz val="9"/>
            <color indexed="81"/>
            <rFont val="Tahoma"/>
            <family val="2"/>
            <charset val="204"/>
          </rPr>
          <t xml:space="preserve">
Текущий формат внесения</t>
        </r>
      </text>
    </comment>
    <comment ref="AX1" authorId="0" shapeId="0" xr:uid="{597273AC-B2D8-4A17-94D9-E5F338A057F7}">
      <text>
        <r>
          <rPr>
            <b/>
            <sz val="9"/>
            <color indexed="81"/>
            <rFont val="Tahoma"/>
            <family val="2"/>
            <charset val="204"/>
          </rPr>
          <t>Михаил:</t>
        </r>
        <r>
          <rPr>
            <sz val="9"/>
            <color indexed="81"/>
            <rFont val="Tahoma"/>
            <family val="2"/>
            <charset val="204"/>
          </rPr>
          <t xml:space="preserve">
для нижнего Label</t>
        </r>
      </text>
    </comment>
    <comment ref="AZ1" authorId="0" shapeId="0" xr:uid="{E08D65E6-257A-40E5-B286-EF1DE31B4595}">
      <text>
        <r>
          <rPr>
            <b/>
            <sz val="9"/>
            <color indexed="81"/>
            <rFont val="Tahoma"/>
            <family val="2"/>
            <charset val="204"/>
          </rPr>
          <t>Михаил:</t>
        </r>
        <r>
          <rPr>
            <sz val="9"/>
            <color indexed="81"/>
            <rFont val="Tahoma"/>
            <family val="2"/>
            <charset val="204"/>
          </rPr>
          <t xml:space="preserve">
вариант нажатой кнопки (если: 0 - закрываем, 1 - движение вправо, 2 движение вниз)</t>
        </r>
      </text>
    </comment>
    <comment ref="G38" authorId="1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Питерский Михаил Валерьевич:</t>
        </r>
        <r>
          <rPr>
            <sz val="9"/>
            <color indexed="81"/>
            <rFont val="Tahoma"/>
            <family val="2"/>
            <charset val="204"/>
          </rPr>
          <t xml:space="preserve">
AZT</t>
        </r>
      </text>
    </comment>
  </commentList>
</comments>
</file>

<file path=xl/sharedStrings.xml><?xml version="1.0" encoding="utf-8"?>
<sst xmlns="http://schemas.openxmlformats.org/spreadsheetml/2006/main" count="1270" uniqueCount="496">
  <si>
    <t>МНН1</t>
  </si>
  <si>
    <t>МНН2</t>
  </si>
  <si>
    <t>МНН3</t>
  </si>
  <si>
    <t>Код1</t>
  </si>
  <si>
    <t>Код2</t>
  </si>
  <si>
    <t>Код3</t>
  </si>
  <si>
    <t>Код</t>
  </si>
  <si>
    <t>Абакавир</t>
  </si>
  <si>
    <t>ABC</t>
  </si>
  <si>
    <t>НИОТ</t>
  </si>
  <si>
    <t>Азидотимидин</t>
  </si>
  <si>
    <t>AZT</t>
  </si>
  <si>
    <t>ZDV</t>
  </si>
  <si>
    <t>Актастав</t>
  </si>
  <si>
    <t>Ставудин</t>
  </si>
  <si>
    <t>d4T</t>
  </si>
  <si>
    <t>Алагет</t>
  </si>
  <si>
    <t>Ламивудин</t>
  </si>
  <si>
    <t>3TC</t>
  </si>
  <si>
    <t>ABC+3TC</t>
  </si>
  <si>
    <t>Амивирен</t>
  </si>
  <si>
    <t>Аптивус</t>
  </si>
  <si>
    <t>Типранавир</t>
  </si>
  <si>
    <t>TPV</t>
  </si>
  <si>
    <t>ИП</t>
  </si>
  <si>
    <t>Атазанавир</t>
  </si>
  <si>
    <t>ATV</t>
  </si>
  <si>
    <t>Атрипла</t>
  </si>
  <si>
    <t>Эфавиренз</t>
  </si>
  <si>
    <t>Эмтрицитабин</t>
  </si>
  <si>
    <t>Тенофовир</t>
  </si>
  <si>
    <t>EFV</t>
  </si>
  <si>
    <t>FTC</t>
  </si>
  <si>
    <t>TDF</t>
  </si>
  <si>
    <t>EFV+FTC+TDF</t>
  </si>
  <si>
    <t>НИОТ+ННИОТ</t>
  </si>
  <si>
    <t>Биктарви</t>
  </si>
  <si>
    <t>Биктегравир</t>
  </si>
  <si>
    <t>Тенофовир алафенамид</t>
  </si>
  <si>
    <t>BIC</t>
  </si>
  <si>
    <t>TAF</t>
  </si>
  <si>
    <t>BIC+FTC+TAF</t>
  </si>
  <si>
    <t>ИИ+НИОТ+ННИОТ</t>
  </si>
  <si>
    <t>ИИ</t>
  </si>
  <si>
    <t>Видекс</t>
  </si>
  <si>
    <t>Диданозин</t>
  </si>
  <si>
    <t>ddI</t>
  </si>
  <si>
    <t>Вирамун</t>
  </si>
  <si>
    <t>Невирапин</t>
  </si>
  <si>
    <t>NVP</t>
  </si>
  <si>
    <t>ННИОТ</t>
  </si>
  <si>
    <t>Вирасепт</t>
  </si>
  <si>
    <t>Нелфинавир</t>
  </si>
  <si>
    <t>NFV</t>
  </si>
  <si>
    <t>Виреад</t>
  </si>
  <si>
    <t>Вирокомб</t>
  </si>
  <si>
    <t>Зидовудин</t>
  </si>
  <si>
    <t>ZDV+3TC</t>
  </si>
  <si>
    <t>Виролам</t>
  </si>
  <si>
    <t>Вудистав</t>
  </si>
  <si>
    <t>Генвоя</t>
  </si>
  <si>
    <t>Элвитегравир</t>
  </si>
  <si>
    <t>EVG</t>
  </si>
  <si>
    <t>COB+TAF+EVG+FTC</t>
  </si>
  <si>
    <t>ИИ+НИОТ+НтИОТ</t>
  </si>
  <si>
    <t>Гептавир</t>
  </si>
  <si>
    <t>Дабловир</t>
  </si>
  <si>
    <t>FTC+TDF</t>
  </si>
  <si>
    <t>Дарунавир</t>
  </si>
  <si>
    <t>DRV</t>
  </si>
  <si>
    <t>Делавирдин</t>
  </si>
  <si>
    <t>DLV</t>
  </si>
  <si>
    <t>Дескави</t>
  </si>
  <si>
    <t>Дизаверокс</t>
  </si>
  <si>
    <t>Доквир</t>
  </si>
  <si>
    <t>Долутегравир</t>
  </si>
  <si>
    <t>DTG</t>
  </si>
  <si>
    <t>Доравирин</t>
  </si>
  <si>
    <t>DOR</t>
  </si>
  <si>
    <t>Зерит</t>
  </si>
  <si>
    <t>Зеффикс</t>
  </si>
  <si>
    <t>Зиаген</t>
  </si>
  <si>
    <t>Зидолам</t>
  </si>
  <si>
    <t>ZDV+3TC+NVP</t>
  </si>
  <si>
    <t>Зидо-Эйч</t>
  </si>
  <si>
    <t>Зилакомб</t>
  </si>
  <si>
    <t>Инвираза</t>
  </si>
  <si>
    <t>Саквинавир</t>
  </si>
  <si>
    <t>SQV</t>
  </si>
  <si>
    <t>Индинавир</t>
  </si>
  <si>
    <t>IDV</t>
  </si>
  <si>
    <t>Интеленс</t>
  </si>
  <si>
    <t>Этравирин</t>
  </si>
  <si>
    <t>ETR</t>
  </si>
  <si>
    <t>Интерфаст</t>
  </si>
  <si>
    <t>Исентресс</t>
  </si>
  <si>
    <t>Ралтегравир</t>
  </si>
  <si>
    <t>RAL</t>
  </si>
  <si>
    <t>Каботегравир</t>
  </si>
  <si>
    <t>CAB</t>
  </si>
  <si>
    <t>Калетра</t>
  </si>
  <si>
    <t>Лопинавир</t>
  </si>
  <si>
    <t>Ритонавир</t>
  </si>
  <si>
    <t>LPV/r</t>
  </si>
  <si>
    <t>Калидавир</t>
  </si>
  <si>
    <t>Кемерувир</t>
  </si>
  <si>
    <t>Кивекса</t>
  </si>
  <si>
    <t>Комбивир</t>
  </si>
  <si>
    <t>Криксиван</t>
  </si>
  <si>
    <t>Лами-Зидокс</t>
  </si>
  <si>
    <t>Лирасепт</t>
  </si>
  <si>
    <t>LPV</t>
  </si>
  <si>
    <t>Маравирок</t>
  </si>
  <si>
    <t>MVC</t>
  </si>
  <si>
    <t>_</t>
  </si>
  <si>
    <t>Никавир</t>
  </si>
  <si>
    <t>Фосфазид</t>
  </si>
  <si>
    <t>PhAZT</t>
  </si>
  <si>
    <t>Норвир</t>
  </si>
  <si>
    <t>RTV</t>
  </si>
  <si>
    <t>Олитид</t>
  </si>
  <si>
    <t>Презиста</t>
  </si>
  <si>
    <t>Реатаз</t>
  </si>
  <si>
    <t>Регаст</t>
  </si>
  <si>
    <t>Ретровир</t>
  </si>
  <si>
    <t>Рилпивирин</t>
  </si>
  <si>
    <t>RPV</t>
  </si>
  <si>
    <t>Ринвир</t>
  </si>
  <si>
    <t>Симанод</t>
  </si>
  <si>
    <t>Стаг</t>
  </si>
  <si>
    <t>Стокрин</t>
  </si>
  <si>
    <t>Телзир</t>
  </si>
  <si>
    <t>Фасампренавир</t>
  </si>
  <si>
    <t>FPV</t>
  </si>
  <si>
    <t>Тенвир</t>
  </si>
  <si>
    <t>Тенофлек</t>
  </si>
  <si>
    <t>Тивикай</t>
  </si>
  <si>
    <t>Тимазид</t>
  </si>
  <si>
    <t>Тризивир</t>
  </si>
  <si>
    <t>ABC+3TC+ZDV</t>
  </si>
  <si>
    <t>Трувада</t>
  </si>
  <si>
    <t>Фортоваза</t>
  </si>
  <si>
    <t>Фосампренавир</t>
  </si>
  <si>
    <t>Фузеон</t>
  </si>
  <si>
    <t>Энфувиртид</t>
  </si>
  <si>
    <t>ENF</t>
  </si>
  <si>
    <t>ИФ</t>
  </si>
  <si>
    <t>Целзентри</t>
  </si>
  <si>
    <t>Эдюрант</t>
  </si>
  <si>
    <t>Эмтритаб</t>
  </si>
  <si>
    <t>Эпивир</t>
  </si>
  <si>
    <t>Эфкур</t>
  </si>
  <si>
    <t>Name</t>
  </si>
  <si>
    <t>Text</t>
  </si>
  <si>
    <t>ТН</t>
  </si>
  <si>
    <t>МНН</t>
  </si>
  <si>
    <t>P1</t>
  </si>
  <si>
    <t>P2</t>
  </si>
  <si>
    <t>P3</t>
  </si>
  <si>
    <t>P4</t>
  </si>
  <si>
    <t>ID</t>
  </si>
  <si>
    <t>Нет</t>
  </si>
  <si>
    <t>Абакавир+Ламивудин</t>
  </si>
  <si>
    <t>Эфавиренз+Эмтрицитабин+Тенофовир</t>
  </si>
  <si>
    <t>Биктегравир+Эмтрицитабин+Тенофовир алафенамид</t>
  </si>
  <si>
    <t>Зидовудин+Ламивудин</t>
  </si>
  <si>
    <t>Тенофовир алафенамид+Элвитегравир+Эмтрицитабин</t>
  </si>
  <si>
    <t>Эмтрицитабин+Тенофовир алафенамид</t>
  </si>
  <si>
    <t>Зидовудин+Ламивудин+Невирапин</t>
  </si>
  <si>
    <t>Лопинавир+Ритонавир</t>
  </si>
  <si>
    <t>Абакавир+Ламивудин+Зидовудин</t>
  </si>
  <si>
    <t>Абакавир (ABC)</t>
  </si>
  <si>
    <t>Азидотимидин (AZT)</t>
  </si>
  <si>
    <t>Ставудин (d4T)</t>
  </si>
  <si>
    <t>Абакавир (ABC)+Ламивудин(3TC)</t>
  </si>
  <si>
    <t>Ламивудин (3TC)</t>
  </si>
  <si>
    <t>Типранавир (TPV)</t>
  </si>
  <si>
    <t>Атазанавир (ATV)</t>
  </si>
  <si>
    <t>Эфавиренз (EFV)+Эмтрицитабин(FTC)+Тенофовир(TDF)</t>
  </si>
  <si>
    <t>Биктегравир (BIC)+Эмтрицитабин(FTC)+Тенофовир алафенамид(TAF)</t>
  </si>
  <si>
    <t>Биктегравир (BIC)</t>
  </si>
  <si>
    <t>Диданозин (ddI)</t>
  </si>
  <si>
    <t>Невирапин (NVP)</t>
  </si>
  <si>
    <t>Нелфинавир (NFV)</t>
  </si>
  <si>
    <t>Тенофовир алафенамид (TDF)</t>
  </si>
  <si>
    <t>Зидовудин (ZDV)+Ламивудин(3TC)</t>
  </si>
  <si>
    <t>Тенофовир алафенамид (TAF)+Элвитегравир(EVG)+Эмтрицитабин(FTC)</t>
  </si>
  <si>
    <t>Эмтрицитабин (FTC)+Тенофовир алафенамид(TDF)</t>
  </si>
  <si>
    <t>Дарунавир (DRV)</t>
  </si>
  <si>
    <t>Делавирдин (DLV)</t>
  </si>
  <si>
    <t>Долутегравир (DTG)</t>
  </si>
  <si>
    <t>Доравирин (DOR)</t>
  </si>
  <si>
    <t>Зидовудин (ZDV)</t>
  </si>
  <si>
    <t>Зидовудин (ZDV)+Ламивудин(3TC)+Невирапин(NVP)</t>
  </si>
  <si>
    <t>Саквинавир (SQV)</t>
  </si>
  <si>
    <t>Индинавир (IDV)</t>
  </si>
  <si>
    <t>Этравирин (ETR)</t>
  </si>
  <si>
    <t>Ралтегравир (RAL)</t>
  </si>
  <si>
    <t>Каботегравир (CAB)</t>
  </si>
  <si>
    <t>Лопинавир (LPV/r)</t>
  </si>
  <si>
    <t>Лопинавир (LPV)</t>
  </si>
  <si>
    <t>Маравирок (MVC)</t>
  </si>
  <si>
    <t>Фосфазид (PhAZT)</t>
  </si>
  <si>
    <t>Ритонавир (RTV)</t>
  </si>
  <si>
    <t>Эфавиренз (EFV)</t>
  </si>
  <si>
    <t>Рилпивирин (RPV)</t>
  </si>
  <si>
    <t>Фасампренавир (FPV)</t>
  </si>
  <si>
    <t>Тенофовир (TDF)</t>
  </si>
  <si>
    <t>Абакавир (ABC)+Ламивудин(3TC)+Зидовудин(ZDV)</t>
  </si>
  <si>
    <t>Фосампренавир (FPV)</t>
  </si>
  <si>
    <t>Энфувиртид (ENF)</t>
  </si>
  <si>
    <t>Эмтрицитабин (FTC)</t>
  </si>
  <si>
    <t>Тенофовир алафенамид (TAF)</t>
  </si>
  <si>
    <t>ТН [МНН (код)]</t>
  </si>
  <si>
    <t>ТН (коды)</t>
  </si>
  <si>
    <t>МНН (код)</t>
  </si>
  <si>
    <t>Актастав [Ставудин (d4T)]</t>
  </si>
  <si>
    <t>Актастав (d4T)</t>
  </si>
  <si>
    <t>Алагет [Абакавир (ABC)+Ламивудин(3TC)]</t>
  </si>
  <si>
    <t>Алагет (ABC+3TC)</t>
  </si>
  <si>
    <t>Амивирен [Ламивудин (3TC)]</t>
  </si>
  <si>
    <t>Амивирен (3TC)</t>
  </si>
  <si>
    <t>Аптивус [Типранавир (TPV)]</t>
  </si>
  <si>
    <t>Аптивус (TPV)</t>
  </si>
  <si>
    <t>Атрипла [Эфавиренз (EFV)+Эмтрицитабин(FTC)+Тенофовир(TDF)]</t>
  </si>
  <si>
    <t>Атрипла (EFV+FTC+TDF)</t>
  </si>
  <si>
    <t>Биктарви [Биктегравир (BIC)+Эмтрицитабин(FTC)+Тенофовир алафенамид(TAF)]</t>
  </si>
  <si>
    <t>Биктарви (BIC+FTC+TAF)</t>
  </si>
  <si>
    <t>Видекс [Диданозин (ddI)]</t>
  </si>
  <si>
    <t>Видекс (ddI)</t>
  </si>
  <si>
    <t>Вирамун [Невирапин (NVP)]</t>
  </si>
  <si>
    <t>Вирамун (NVP)</t>
  </si>
  <si>
    <t>Вирасепт [Нелфинавир (NFV)]</t>
  </si>
  <si>
    <t>Вирасепт (NFV)</t>
  </si>
  <si>
    <t>Виреад [Тенофовир алафенамид (TDF)]</t>
  </si>
  <si>
    <t>Виреад (TDF)</t>
  </si>
  <si>
    <t>Вирокомб [Зидовудин (ZDV)+Ламивудин(3TC)]</t>
  </si>
  <si>
    <t>Вирокомб (ZDV+3TC)</t>
  </si>
  <si>
    <t>Виролам [Ламивудин (3TC)]</t>
  </si>
  <si>
    <t>Виролам (3TC)</t>
  </si>
  <si>
    <t>Вудистав [Ставудин (d4T)]</t>
  </si>
  <si>
    <t>Вудистав (d4T)</t>
  </si>
  <si>
    <t>Генвоя [Тенофовир алафенамид (TAF)+Элвитегравир(EVG)+Эмтрицитабин(FTC)]</t>
  </si>
  <si>
    <t>Генвоя (COB+TAF+EVG+FTC)</t>
  </si>
  <si>
    <t>Гептавир [Ламивудин (3TC)]</t>
  </si>
  <si>
    <t>Гептавир (3TC)</t>
  </si>
  <si>
    <t>Дабловир [Эмтрицитабин (FTC)+Тенофовир алафенамид(TDF)]</t>
  </si>
  <si>
    <t>Дабловир (FTC+TDF)</t>
  </si>
  <si>
    <t>Дескави [Эмтрицитабин (FTC)+Тенофовир алафенамид(TDF)]</t>
  </si>
  <si>
    <t>Дескави (FTC+TDF)</t>
  </si>
  <si>
    <t>Дизаверокс [Зидовудин (ZDV)+Ламивудин(3TC)]</t>
  </si>
  <si>
    <t>Дизаверокс (ZDV+3TC)</t>
  </si>
  <si>
    <t>Доквир [Эмтрицитабин (FTC)+Тенофовир алафенамид(TDF)]</t>
  </si>
  <si>
    <t>Доквир (FTC+TDF)</t>
  </si>
  <si>
    <t>Зерит [Ставудин (d4T)]</t>
  </si>
  <si>
    <t>Зерит (d4T)</t>
  </si>
  <si>
    <t>Зеффикс [Ламивудин (3TC)]</t>
  </si>
  <si>
    <t>Зеффикс (3TC)</t>
  </si>
  <si>
    <t>Зиаген [Абакавир (ABC)]</t>
  </si>
  <si>
    <t>Зиаген (ABC)</t>
  </si>
  <si>
    <t>Зидолам [Зидовудин (ZDV)+Ламивудин(3TC)+Невирапин(NVP)]</t>
  </si>
  <si>
    <t>Зидолам (ZDV+3TC+NVP)</t>
  </si>
  <si>
    <t>Зидо-Эйч [Зидовудин (ZDV)]</t>
  </si>
  <si>
    <t>Зидо-Эйч (ZDV)</t>
  </si>
  <si>
    <t>Зилакомб [Зидовудин (ZDV)+Ламивудин(3TC)]</t>
  </si>
  <si>
    <t>Зилакомб (ZDV+3TC)</t>
  </si>
  <si>
    <t>Инвираза [Саквинавир (SQV)]</t>
  </si>
  <si>
    <t>Инвираза (SQV)</t>
  </si>
  <si>
    <t>Интеленс [Этравирин (ETR)]</t>
  </si>
  <si>
    <t>Интеленс (ETR)</t>
  </si>
  <si>
    <t>Интерфаст [Саквинавир (SQV)]</t>
  </si>
  <si>
    <t>Интерфаст (SQV)</t>
  </si>
  <si>
    <t>Исентресс [Ралтегравир (RAL)]</t>
  </si>
  <si>
    <t>Исентресс (RAL)</t>
  </si>
  <si>
    <t>Калетра [Лопинавир (LPV/r)]</t>
  </si>
  <si>
    <t>Калетра (LPV/r)</t>
  </si>
  <si>
    <t>Калидавир [Лопинавир (LPV/r)]</t>
  </si>
  <si>
    <t>Калидавир (LPV/r)</t>
  </si>
  <si>
    <t>Кемерувир [Дарунавир (DRV)]</t>
  </si>
  <si>
    <t>Кемерувир (DRV)</t>
  </si>
  <si>
    <t>Кивекса [Абакавир (ABC)+Ламивудин(3TC)]</t>
  </si>
  <si>
    <t>Кивекса (ABC+3TC)</t>
  </si>
  <si>
    <t>Комбивир [Зидовудин (ZDV)+Ламивудин(3TC)]</t>
  </si>
  <si>
    <t>Комбивир (ZDV+3TC)</t>
  </si>
  <si>
    <t>Криксиван [Индинавир (IDV)]</t>
  </si>
  <si>
    <t>Криксиван (IDV)</t>
  </si>
  <si>
    <t>Лами-Зидокс [Зидовудин (ZDV)+Ламивудин(3TC)]</t>
  </si>
  <si>
    <t>Лами-Зидокс (ZDV+3TC)</t>
  </si>
  <si>
    <t>Лирасепт [Нелфинавир (NFV)]</t>
  </si>
  <si>
    <t>Лирасепт (NFV)</t>
  </si>
  <si>
    <t>Никавир [Фосфазид (PhAZT)]</t>
  </si>
  <si>
    <t>Никавир (PhAZT)</t>
  </si>
  <si>
    <t>Норвир [Ритонавир (RTV)]</t>
  </si>
  <si>
    <t>Норвир (RTV)</t>
  </si>
  <si>
    <t>Олитид [Абакавир (ABC)]</t>
  </si>
  <si>
    <t>Олитид (ABC)</t>
  </si>
  <si>
    <t>Презиста [Дарунавир (DRV)]</t>
  </si>
  <si>
    <t>Презиста (DRV)</t>
  </si>
  <si>
    <t>Реатаз [Атазанавир (ATV)]</t>
  </si>
  <si>
    <t>Реатаз (ATV)</t>
  </si>
  <si>
    <t>Регаст [Эфавиренз (EFV)]</t>
  </si>
  <si>
    <t>Регаст (EFV)</t>
  </si>
  <si>
    <t>Ретровир [Зидовудин (ZDV)]</t>
  </si>
  <si>
    <t>Ретровир (ZDV)</t>
  </si>
  <si>
    <t>Ринвир [Ритонавир (RTV)]</t>
  </si>
  <si>
    <t>Ринвир (RTV)</t>
  </si>
  <si>
    <t>Симанод [Атазанавир (ATV)]</t>
  </si>
  <si>
    <t>Симанод (ATV)</t>
  </si>
  <si>
    <t>Стаг [Ставудин (d4T)]</t>
  </si>
  <si>
    <t>Стаг (d4T)</t>
  </si>
  <si>
    <t>Стокрин [Эфавиренз (EFV)]</t>
  </si>
  <si>
    <t>Стокрин (EFV)</t>
  </si>
  <si>
    <t>Телзир [Фасампренавир (FPV)]</t>
  </si>
  <si>
    <t>Телзир (FPV)</t>
  </si>
  <si>
    <t>Тенвир [Тенофовир (TDF)]</t>
  </si>
  <si>
    <t>Тенвир (TDF)</t>
  </si>
  <si>
    <t>Тенофлек [Тенофовир (TDF)]</t>
  </si>
  <si>
    <t>Тенофлек (TDF)</t>
  </si>
  <si>
    <t>Тивикай [Долутегравир (DTG)]</t>
  </si>
  <si>
    <t>Тивикай (DTG)</t>
  </si>
  <si>
    <t>Тимазид [Зидовудин (ZDV)]</t>
  </si>
  <si>
    <t>Тимазид (ZDV)</t>
  </si>
  <si>
    <t>Тризивир [Абакавир (ABC)+Ламивудин(3TC)+Зидовудин(ZDV)]</t>
  </si>
  <si>
    <t>Тризивир (ABC+3TC+ZDV)</t>
  </si>
  <si>
    <t>Трувада [Эмтрицитабин (FTC)+Тенофовир алафенамид(TDF)]</t>
  </si>
  <si>
    <t>Трувада (FTC+TDF)</t>
  </si>
  <si>
    <t>Фортоваза [Саквинавир (SQV)]</t>
  </si>
  <si>
    <t>Фортоваза (SQV)</t>
  </si>
  <si>
    <t>Фузеон [Энфувиртид (ENF)]</t>
  </si>
  <si>
    <t>Фузеон (ENF)</t>
  </si>
  <si>
    <t>Целзентри [Маравирок (MVC)]</t>
  </si>
  <si>
    <t>Целзентри (MVC)</t>
  </si>
  <si>
    <t>Эдюрант [Рилпивирин (RPV)]</t>
  </si>
  <si>
    <t>Эдюрант (RPV)</t>
  </si>
  <si>
    <t>Эмтритаб [Эмтрицитабин (FTC)]</t>
  </si>
  <si>
    <t>Эмтритаб (FTC)</t>
  </si>
  <si>
    <t>Эпивир [Ламивудин (3TC)]</t>
  </si>
  <si>
    <t>Эпивир (3TC)</t>
  </si>
  <si>
    <t>Эфкур [Эфавиренз (EFV)]</t>
  </si>
  <si>
    <t>Эфкур (EFV)</t>
  </si>
  <si>
    <t>ТН=МНН</t>
  </si>
  <si>
    <t>СТ</t>
  </si>
  <si>
    <t>Text+</t>
  </si>
  <si>
    <t>Class+</t>
  </si>
  <si>
    <t>СТ1</t>
  </si>
  <si>
    <t>Абакавир (ABC, НИОТ)</t>
  </si>
  <si>
    <t>Азидотимидин (AZT, НИОТ)</t>
  </si>
  <si>
    <t>Актастав (d4T, НИОТ)</t>
  </si>
  <si>
    <t>Алагет (ABC+3TC, НИОТ)</t>
  </si>
  <si>
    <t>Амивирен (3TC, НИОТ)</t>
  </si>
  <si>
    <t>Аптивус (TPV, ИП)</t>
  </si>
  <si>
    <t>Атазанавир (ATV, ИП)</t>
  </si>
  <si>
    <t>Атрипла (EFV+FTC+TDF, НИОТ+ННИОТ)</t>
  </si>
  <si>
    <t>Биктарви (BIC+FTC+TAF, ИИ+НИОТ+ННИОТ)</t>
  </si>
  <si>
    <t>Биктегравир (BIC, ИИ)</t>
  </si>
  <si>
    <t>Видекс (ddI, НИОТ)</t>
  </si>
  <si>
    <t>Вирамун (NVP, ННИОТ)</t>
  </si>
  <si>
    <t>Вирасепт (NFV, ИП)</t>
  </si>
  <si>
    <t>Виреад (TDF, НИОТ)</t>
  </si>
  <si>
    <t>Вирокомб (ZDV+3TC, НИОТ)</t>
  </si>
  <si>
    <t>Виролам (3TC, НИОТ)</t>
  </si>
  <si>
    <t>Вудистав (d4T, НИОТ)</t>
  </si>
  <si>
    <t>Генвоя (COB+TAF+EVG+FTC, ИИ+НИОТ+НтИОТ)</t>
  </si>
  <si>
    <t>Гептавир (3TC, НИОТ)</t>
  </si>
  <si>
    <t>Дабловир (FTC+TDF, НИОТ+ННИОТ)</t>
  </si>
  <si>
    <t>Доравирин (DOR, ННИОТ)</t>
  </si>
  <si>
    <t>Лами-Зидокс (ZDV+3TC, НИОТ)</t>
  </si>
  <si>
    <t>Эфавиренз (EFV, ННИОТ)</t>
  </si>
  <si>
    <t>Эпивир (3TC, НИОТ)</t>
  </si>
  <si>
    <t>Эфкур (EFV, ННИОТ)</t>
  </si>
  <si>
    <t>Этравирин (ETR, ННИОТ)</t>
  </si>
  <si>
    <t>Энфувиртид (ENF, ИФ)</t>
  </si>
  <si>
    <t>Класс</t>
  </si>
  <si>
    <t>ТН (коды, класс)</t>
  </si>
  <si>
    <t>Дарунавир (DRV, ИП)</t>
  </si>
  <si>
    <t>Делавирдин (DLV, ННИОТ)</t>
  </si>
  <si>
    <t>Дескави (FTC+TDF, НИОТ+ННИОТ)</t>
  </si>
  <si>
    <t>Диданозин (ddI, НИОТ)</t>
  </si>
  <si>
    <t>Дизаверокс (ZDV+3TC, НИОТ)</t>
  </si>
  <si>
    <t>Доквир (FTC+TDF, НИОТ+ННИОТ)</t>
  </si>
  <si>
    <t>Долутегравир (DTG, ИИ)</t>
  </si>
  <si>
    <t>Зерит (d4T, НИОТ)</t>
  </si>
  <si>
    <t>Зеффикс (3TC, НИОТ)</t>
  </si>
  <si>
    <t>Зиаген (ABC, НИОТ)</t>
  </si>
  <si>
    <t>Зидовудин (ZDV, НИОТ)</t>
  </si>
  <si>
    <t>Зидолам (ZDV+3TC+NVP, НИОТ)</t>
  </si>
  <si>
    <t>Зидо-Эйч (ZDV, НИОТ)</t>
  </si>
  <si>
    <t>Зилакомб (ZDV+3TC, НИОТ)</t>
  </si>
  <si>
    <t>Инвираза (SQV, ИП)</t>
  </si>
  <si>
    <t>Индинавир (IDV, ИП)</t>
  </si>
  <si>
    <t>Интеленс (ETR, ННИОТ)</t>
  </si>
  <si>
    <t>Интерфаст (SQV, ИП)</t>
  </si>
  <si>
    <t>Исентресс (RAL, ИИ)</t>
  </si>
  <si>
    <t>Каботегравир (CAB, ИИ)</t>
  </si>
  <si>
    <t>Калетра (LPV/r, ИП)</t>
  </si>
  <si>
    <t>Калидавир (LPV/r, ИП)</t>
  </si>
  <si>
    <t>Кемерувир (DRV, ИП)</t>
  </si>
  <si>
    <t>Кивекса (ABC+3TC, НИОТ)</t>
  </si>
  <si>
    <t>Комбивир (ZDV+3TC, НИОТ)</t>
  </si>
  <si>
    <t>Криксиван (IDV, ИП)</t>
  </si>
  <si>
    <t>Ламивудин (3TC, НИОТ)</t>
  </si>
  <si>
    <t>Лирасепт (NFV, ИП)</t>
  </si>
  <si>
    <t>Лопинавир (LPV, ИП)</t>
  </si>
  <si>
    <t>Маравирок (MVC, _)</t>
  </si>
  <si>
    <t>Невирапин (NVP, ННИОТ)</t>
  </si>
  <si>
    <t>Нелфинавир (NFV, ИП)</t>
  </si>
  <si>
    <t>Никавир (PhAZT, НИОТ)</t>
  </si>
  <si>
    <t>Норвир (RTV, ИП)</t>
  </si>
  <si>
    <t>Олитид (ABC, НИОТ)</t>
  </si>
  <si>
    <t>Презиста (DRV, ИП)</t>
  </si>
  <si>
    <t>Ралтегравир (RAL, ИИ)</t>
  </si>
  <si>
    <t>Реатаз (ATV, ИП)</t>
  </si>
  <si>
    <t>Регаст (EFV, ННИОТ)</t>
  </si>
  <si>
    <t>Ретровир (ZDV, НИОТ)</t>
  </si>
  <si>
    <t>Рилпивирин (RPV, ННИОТ)</t>
  </si>
  <si>
    <t>Ринвир (RTV, ИП)</t>
  </si>
  <si>
    <t>Ритонавир (RTV, ИП)</t>
  </si>
  <si>
    <t>Саквинавир (SQV, ИП)</t>
  </si>
  <si>
    <t>Симанод (ATV, ИП)</t>
  </si>
  <si>
    <t>Ставудин (d4T, НИОТ)</t>
  </si>
  <si>
    <t>Стаг (d4T, НИОТ)</t>
  </si>
  <si>
    <t>Стокрин (EFV, ННИОТ)</t>
  </si>
  <si>
    <t>Телзир (FPV, ИП)</t>
  </si>
  <si>
    <t>Тенвир (TDF, НИОТ)</t>
  </si>
  <si>
    <t>Тенофлек (TDF, НИОТ)</t>
  </si>
  <si>
    <t>Тенофовир (TDF, НИОТ)</t>
  </si>
  <si>
    <t>Тивикай (DTG, ИИ)</t>
  </si>
  <si>
    <t>Тимазид (ZDV, НИОТ)</t>
  </si>
  <si>
    <t>Типранавир (TPV, ИП)</t>
  </si>
  <si>
    <t>Тризивир (ABC+3TC+ZDV, НИОТ)</t>
  </si>
  <si>
    <t>Трувада (FTC+TDF, НИОТ)</t>
  </si>
  <si>
    <t>Фортоваза (SQV, ИП)</t>
  </si>
  <si>
    <t>Фосампренавир (FPV, ИП)</t>
  </si>
  <si>
    <t>Фосфазид (PhAZT, НИОТ)</t>
  </si>
  <si>
    <t>Фузеон (ENF, ИФ)</t>
  </si>
  <si>
    <t>Целзентри (MVC, ИФ)</t>
  </si>
  <si>
    <t>Эдюрант (RPV, ННИОТ)</t>
  </si>
  <si>
    <t>Эмтритаб (FTC, НИОТ)</t>
  </si>
  <si>
    <t>Эмтрицитабин (FTC, НИОТ)</t>
  </si>
  <si>
    <t>Тенофовир алафенамид (TAF, ИИ)</t>
  </si>
  <si>
    <t>СТВ</t>
  </si>
  <si>
    <t>TextV</t>
  </si>
  <si>
    <t>TextV+</t>
  </si>
  <si>
    <t>Shema</t>
  </si>
  <si>
    <t>Exit</t>
  </si>
  <si>
    <t>Элсульфавирин</t>
  </si>
  <si>
    <t>Элпида</t>
  </si>
  <si>
    <t>ESV</t>
  </si>
  <si>
    <t>Столбик для комбобокса</t>
  </si>
  <si>
    <t>ФСИН</t>
  </si>
  <si>
    <t>Максимальный номер формата</t>
  </si>
  <si>
    <t>Минимальный номер формата</t>
  </si>
  <si>
    <t>Абакавир 300</t>
  </si>
  <si>
    <t>Атазанавир 200</t>
  </si>
  <si>
    <t>Ламивудин+Зидовудин</t>
  </si>
  <si>
    <t>Дарунавир 600</t>
  </si>
  <si>
    <t>Долутергавир 50</t>
  </si>
  <si>
    <t>Ставудин 40</t>
  </si>
  <si>
    <t>Зидовудин 300</t>
  </si>
  <si>
    <t>Индинавир 400</t>
  </si>
  <si>
    <t>Лопинавир+Ритонавир 200+50</t>
  </si>
  <si>
    <t>Лопинавир+Ритонавир 80+20</t>
  </si>
  <si>
    <t>Калетра 80+20</t>
  </si>
  <si>
    <t>Дарунавир 400</t>
  </si>
  <si>
    <t>Ламивудин 150</t>
  </si>
  <si>
    <t>Невирапин 200</t>
  </si>
  <si>
    <t>Ралтегравир 400</t>
  </si>
  <si>
    <t>Атазанавир 150</t>
  </si>
  <si>
    <t>Ритонавир 100</t>
  </si>
  <si>
    <t>Саквинавир 500</t>
  </si>
  <si>
    <t>Атазанавир 300</t>
  </si>
  <si>
    <t>Ставудин 30</t>
  </si>
  <si>
    <t>Абакавир+Зидовудин+ Ламивудин</t>
  </si>
  <si>
    <t>Фосампренавир700</t>
  </si>
  <si>
    <t>Фосфазид 200</t>
  </si>
  <si>
    <t>Эвиплера</t>
  </si>
  <si>
    <t>FTC+TDF+RPV</t>
  </si>
  <si>
    <t>Эвиплера 200+25+300</t>
  </si>
  <si>
    <t>Эмтрицитабин+Тенофовир алафенамид+Рилпивирин</t>
  </si>
  <si>
    <t>Элсульфавирин [Элсульфавирин (ESV)]</t>
  </si>
  <si>
    <t>Элпида (ESV)</t>
  </si>
  <si>
    <t>Элсульфавирин (ESV)</t>
  </si>
  <si>
    <t>Элпида [Элсульфавирин (ESV)]</t>
  </si>
  <si>
    <t>Элсульфавирин 20</t>
  </si>
  <si>
    <t>Этравирин 100</t>
  </si>
  <si>
    <t>Эфавиренз 600</t>
  </si>
  <si>
    <t>Тенофовир 300</t>
  </si>
  <si>
    <t>Лопинавир 300</t>
  </si>
  <si>
    <t>Лопинавир+Ритонавир 100+25</t>
  </si>
  <si>
    <t>Калетра 100+25</t>
  </si>
  <si>
    <t>Ламивудин 300</t>
  </si>
  <si>
    <t>Ламивудин (3TC, НИОТ) 300</t>
  </si>
  <si>
    <t>Вирфотен</t>
  </si>
  <si>
    <t>Вирфотен [Тенофовир (TDF)]</t>
  </si>
  <si>
    <t>Вирфотен (TDF)</t>
  </si>
  <si>
    <t>Вирфотен (TDF, НИОТ)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</si>
</sst>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52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1" fillId="0" borderId="0" xfId="1" applyFont="1"/>
    <xf numFmtId="0" fontId="2" fillId="0" borderId="0" xfId="1"/>
    <xf numFmtId="0" fontId="2" fillId="0" borderId="0" xfId="1" applyAlignment="1">
      <alignment horizontal="left"/>
    </xf>
    <xf numFmtId="0" fontId="2" fillId="0" borderId="1" xfId="1" applyBorder="1" applyAlignment="1">
      <alignment horizontal="left"/>
    </xf>
    <xf numFmtId="0" fontId="2" fillId="0" borderId="1" xfId="1" applyBorder="1"/>
    <xf numFmtId="0" fontId="2" fillId="0" borderId="2" xfId="1" applyBorder="1"/>
    <xf numFmtId="0" fontId="5" fillId="0" borderId="0" xfId="1" applyFont="1"/>
    <xf numFmtId="0" fontId="2" fillId="0" borderId="0" xfId="1" applyAlignment="1">
      <alignment horizontal="center" vertical="center" wrapText="1"/>
    </xf>
    <xf numFmtId="0" fontId="7" fillId="2" borderId="3" xfId="1" applyFont="1" applyFill="1" applyBorder="1"/>
    <xf numFmtId="0" fontId="6" fillId="2" borderId="4" xfId="1" applyFont="1" applyFill="1" applyBorder="1"/>
    <xf numFmtId="0" fontId="2" fillId="0" borderId="0" xfId="1" applyAlignment="1">
      <alignment wrapText="1"/>
    </xf>
    <xf numFmtId="0" fontId="8" fillId="2" borderId="4" xfId="1" applyFont="1" applyFill="1" applyBorder="1"/>
    <xf numFmtId="0" fontId="2" fillId="0" borderId="0" xfId="1" quotePrefix="1"/>
    <xf numFmtId="0" fontId="9" fillId="0" borderId="0" xfId="1" applyFont="1"/>
    <xf numFmtId="0" fontId="0" fillId="3" borderId="5" xfId="0" applyFill="1" applyBorder="1"/>
    <xf numFmtId="0" fontId="0" fillId="3" borderId="0" xfId="0" applyFill="1"/>
    <xf numFmtId="0" fontId="10" fillId="3" borderId="0" xfId="0" applyFont="1" applyFill="1"/>
  </cellXfs>
  <cellStyles count="2">
    <cellStyle name="Обычный" xfId="0" builtinId="0"/>
    <cellStyle name="Обычный 2" xfId="1" xr:uid="{00000000-0005-0000-0000-000001000000}"/>
  </cellStyles>
  <dxfs count="39"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102;&#1084;&#1077;&#1085;&#1100;%20&#1085;&#1072;&#1087;&#1088;&#1072;&#1074;&#1083;&#1077;&#1085;&#1080;&#1103;%20&#1085;&#1072;%20&#1088;&#1077;&#1079;&#1080;&#1089;&#1090;&#1077;&#1085;&#1090;&#1085;&#1086;&#1089;&#1090;&#1100;%20221125+&#1092;&#1086;&#1088;&#1084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Отчёт"/>
      <sheetName val="Шаблон"/>
      <sheetName val="ВН"/>
      <sheetName val="Инструкция"/>
      <sheetName val="Код инфицирования"/>
      <sheetName val="Код обследования"/>
      <sheetName val="Город Регион Округ"/>
      <sheetName val="АРВП"/>
      <sheetName val="АРВП+"/>
      <sheetName val="SYS"/>
      <sheetName val="Перечн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B3">
            <v>100</v>
          </cell>
        </row>
        <row r="4">
          <cell r="B4">
            <v>101</v>
          </cell>
        </row>
        <row r="5">
          <cell r="B5">
            <v>104</v>
          </cell>
        </row>
        <row r="6">
          <cell r="B6">
            <v>105</v>
          </cell>
        </row>
        <row r="7">
          <cell r="B7">
            <v>106</v>
          </cell>
        </row>
        <row r="8">
          <cell r="B8">
            <v>107</v>
          </cell>
        </row>
        <row r="9">
          <cell r="B9">
            <v>108</v>
          </cell>
        </row>
        <row r="10">
          <cell r="B10">
            <v>109</v>
          </cell>
        </row>
        <row r="11">
          <cell r="B11">
            <v>110</v>
          </cell>
        </row>
        <row r="12">
          <cell r="B12">
            <v>111</v>
          </cell>
        </row>
        <row r="13">
          <cell r="B13">
            <v>112</v>
          </cell>
        </row>
        <row r="14">
          <cell r="B14">
            <v>113</v>
          </cell>
        </row>
        <row r="15">
          <cell r="B15">
            <v>114</v>
          </cell>
        </row>
      </sheetData>
      <sheetData sheetId="6">
        <row r="3">
          <cell r="B3">
            <v>101</v>
          </cell>
        </row>
        <row r="4">
          <cell r="B4">
            <v>102</v>
          </cell>
        </row>
        <row r="5">
          <cell r="B5">
            <v>103</v>
          </cell>
        </row>
        <row r="6">
          <cell r="B6">
            <v>104</v>
          </cell>
        </row>
        <row r="7">
          <cell r="B7">
            <v>105</v>
          </cell>
        </row>
        <row r="8">
          <cell r="B8">
            <v>108</v>
          </cell>
        </row>
        <row r="9">
          <cell r="B9">
            <v>109</v>
          </cell>
        </row>
        <row r="10">
          <cell r="B10">
            <v>110</v>
          </cell>
        </row>
        <row r="11">
          <cell r="B11">
            <v>111</v>
          </cell>
        </row>
        <row r="12">
          <cell r="B12">
            <v>112</v>
          </cell>
        </row>
        <row r="13">
          <cell r="B13">
            <v>113</v>
          </cell>
        </row>
        <row r="14">
          <cell r="B14">
            <v>114</v>
          </cell>
        </row>
        <row r="15">
          <cell r="B15">
            <v>115</v>
          </cell>
        </row>
        <row r="16">
          <cell r="B16">
            <v>116</v>
          </cell>
        </row>
        <row r="17">
          <cell r="B17">
            <v>117</v>
          </cell>
        </row>
        <row r="18">
          <cell r="B18">
            <v>118</v>
          </cell>
        </row>
        <row r="19">
          <cell r="B19">
            <v>121</v>
          </cell>
        </row>
        <row r="20">
          <cell r="B20">
            <v>124</v>
          </cell>
        </row>
        <row r="21">
          <cell r="B21">
            <v>125</v>
          </cell>
        </row>
        <row r="22">
          <cell r="B22">
            <v>200</v>
          </cell>
        </row>
      </sheetData>
      <sheetData sheetId="7">
        <row r="3">
          <cell r="B3" t="str">
            <v>Абаза</v>
          </cell>
          <cell r="G3" t="str">
            <v>Адыгея</v>
          </cell>
          <cell r="I3" t="str">
            <v>Дальневосточный</v>
          </cell>
        </row>
        <row r="4">
          <cell r="B4" t="str">
            <v>Абакан</v>
          </cell>
          <cell r="G4" t="str">
            <v>Алтай</v>
          </cell>
          <cell r="I4" t="str">
            <v>Приволжский</v>
          </cell>
        </row>
        <row r="5">
          <cell r="B5" t="str">
            <v>Абдулино</v>
          </cell>
          <cell r="G5" t="str">
            <v>Алтайский край</v>
          </cell>
          <cell r="I5" t="str">
            <v>Северо-Западный</v>
          </cell>
        </row>
        <row r="6">
          <cell r="B6" t="str">
            <v>Абинск</v>
          </cell>
          <cell r="G6" t="str">
            <v>Амурская область</v>
          </cell>
          <cell r="I6" t="str">
            <v>Северо-Кавказский</v>
          </cell>
        </row>
        <row r="7">
          <cell r="B7" t="str">
            <v>Агидель</v>
          </cell>
          <cell r="G7" t="str">
            <v>Архангельская область</v>
          </cell>
          <cell r="I7" t="str">
            <v>Сибирский</v>
          </cell>
        </row>
        <row r="8">
          <cell r="B8" t="str">
            <v>Агрыз</v>
          </cell>
          <cell r="G8" t="str">
            <v>Астраханская область</v>
          </cell>
          <cell r="I8" t="str">
            <v>Уральский</v>
          </cell>
        </row>
        <row r="9">
          <cell r="B9" t="str">
            <v>Адыгейск</v>
          </cell>
          <cell r="G9" t="str">
            <v>Башкортостан</v>
          </cell>
          <cell r="I9" t="str">
            <v>Центральный</v>
          </cell>
        </row>
        <row r="10">
          <cell r="B10" t="str">
            <v>Азнакаево</v>
          </cell>
          <cell r="G10" t="str">
            <v>Белгородская область</v>
          </cell>
          <cell r="I10" t="str">
            <v>Южный</v>
          </cell>
        </row>
        <row r="11">
          <cell r="B11" t="str">
            <v>Азов</v>
          </cell>
          <cell r="G11" t="str">
            <v>Брянская область</v>
          </cell>
        </row>
        <row r="12">
          <cell r="B12" t="str">
            <v>Ак-Довурак</v>
          </cell>
          <cell r="G12" t="str">
            <v>Бурятия</v>
          </cell>
        </row>
        <row r="13">
          <cell r="B13" t="str">
            <v>Аксай</v>
          </cell>
          <cell r="G13" t="str">
            <v>Владимирская область</v>
          </cell>
        </row>
        <row r="14">
          <cell r="B14" t="str">
            <v>Алагир</v>
          </cell>
          <cell r="G14" t="str">
            <v>Волгоградская область</v>
          </cell>
        </row>
        <row r="15">
          <cell r="B15" t="str">
            <v>Алапаевск</v>
          </cell>
          <cell r="G15" t="str">
            <v>Вологодская область</v>
          </cell>
        </row>
        <row r="16">
          <cell r="B16" t="str">
            <v>Алатырь</v>
          </cell>
          <cell r="G16" t="str">
            <v>Воронежская область</v>
          </cell>
        </row>
        <row r="17">
          <cell r="B17" t="str">
            <v>Алдан</v>
          </cell>
          <cell r="G17" t="str">
            <v>Дагестан</v>
          </cell>
        </row>
        <row r="18">
          <cell r="B18" t="str">
            <v>Алейск</v>
          </cell>
          <cell r="G18" t="str">
            <v>Еврейская АО</v>
          </cell>
        </row>
        <row r="19">
          <cell r="B19" t="str">
            <v>Александров</v>
          </cell>
          <cell r="G19" t="str">
            <v>Забайкальский край</v>
          </cell>
        </row>
        <row r="20">
          <cell r="B20" t="str">
            <v>Александровск</v>
          </cell>
          <cell r="G20" t="str">
            <v>Ивановская область</v>
          </cell>
        </row>
        <row r="21">
          <cell r="B21" t="str">
            <v>Александровск-Сахалинский</v>
          </cell>
          <cell r="G21" t="str">
            <v>Ингушетия</v>
          </cell>
        </row>
        <row r="22">
          <cell r="B22" t="str">
            <v>Алексеевка</v>
          </cell>
          <cell r="G22" t="str">
            <v>Иркутская область</v>
          </cell>
        </row>
        <row r="23">
          <cell r="B23" t="str">
            <v>Алексин</v>
          </cell>
          <cell r="G23" t="str">
            <v>Кабардино-Балкария</v>
          </cell>
        </row>
        <row r="24">
          <cell r="B24" t="str">
            <v>Алзамай</v>
          </cell>
          <cell r="G24" t="str">
            <v>Калининградская область</v>
          </cell>
        </row>
        <row r="25">
          <cell r="B25" t="str">
            <v>Алупка</v>
          </cell>
          <cell r="G25" t="str">
            <v>Калмыкия</v>
          </cell>
        </row>
        <row r="26">
          <cell r="B26" t="str">
            <v>Алушта</v>
          </cell>
          <cell r="G26" t="str">
            <v>Калужская область</v>
          </cell>
        </row>
        <row r="27">
          <cell r="B27" t="str">
            <v>Альметьевск</v>
          </cell>
          <cell r="G27" t="str">
            <v>Камчатский край</v>
          </cell>
        </row>
        <row r="28">
          <cell r="B28" t="str">
            <v>Амурск</v>
          </cell>
          <cell r="G28" t="str">
            <v>Карачаево-Черкесия</v>
          </cell>
        </row>
        <row r="29">
          <cell r="B29" t="str">
            <v>Анадырь</v>
          </cell>
          <cell r="G29" t="str">
            <v>Карелия</v>
          </cell>
        </row>
        <row r="30">
          <cell r="B30" t="str">
            <v>Анапа</v>
          </cell>
          <cell r="G30" t="str">
            <v>Кемеровская область</v>
          </cell>
        </row>
        <row r="31">
          <cell r="B31" t="str">
            <v>Ангарск</v>
          </cell>
          <cell r="G31" t="str">
            <v>Кировская область</v>
          </cell>
        </row>
        <row r="32">
          <cell r="B32" t="str">
            <v>Андреаполь</v>
          </cell>
          <cell r="G32" t="str">
            <v>Коми</v>
          </cell>
        </row>
        <row r="33">
          <cell r="B33" t="str">
            <v>Анжеро-Судженск</v>
          </cell>
          <cell r="G33" t="str">
            <v>Костромская область</v>
          </cell>
        </row>
        <row r="34">
          <cell r="B34" t="str">
            <v>Анива</v>
          </cell>
          <cell r="G34" t="str">
            <v>Краснодарский край</v>
          </cell>
        </row>
        <row r="35">
          <cell r="B35" t="str">
            <v>Апатиты</v>
          </cell>
          <cell r="G35" t="str">
            <v>Красноярский край</v>
          </cell>
        </row>
        <row r="36">
          <cell r="B36" t="str">
            <v>Апрелевка</v>
          </cell>
          <cell r="G36" t="str">
            <v>Крым</v>
          </cell>
        </row>
        <row r="37">
          <cell r="B37" t="str">
            <v>Апшеронск</v>
          </cell>
          <cell r="G37" t="str">
            <v>Курганская область</v>
          </cell>
        </row>
        <row r="38">
          <cell r="B38" t="str">
            <v>Арамиль</v>
          </cell>
          <cell r="G38" t="str">
            <v>Курская область</v>
          </cell>
        </row>
        <row r="39">
          <cell r="B39" t="str">
            <v>Аргун</v>
          </cell>
          <cell r="G39" t="str">
            <v>Ленинградская область</v>
          </cell>
        </row>
        <row r="40">
          <cell r="B40" t="str">
            <v>Ардатов</v>
          </cell>
          <cell r="G40" t="str">
            <v>Липецкая область</v>
          </cell>
        </row>
        <row r="41">
          <cell r="B41" t="str">
            <v>Ардон</v>
          </cell>
          <cell r="G41" t="str">
            <v>Магаданская область</v>
          </cell>
        </row>
        <row r="42">
          <cell r="B42" t="str">
            <v>Арзамас</v>
          </cell>
          <cell r="G42" t="str">
            <v>Марий Эл</v>
          </cell>
        </row>
        <row r="43">
          <cell r="B43" t="str">
            <v>Аркадак</v>
          </cell>
          <cell r="G43" t="str">
            <v>Мордовия</v>
          </cell>
        </row>
        <row r="44">
          <cell r="B44" t="str">
            <v>Армавир</v>
          </cell>
          <cell r="G44" t="str">
            <v>Москва</v>
          </cell>
        </row>
        <row r="45">
          <cell r="B45" t="str">
            <v>Армянск</v>
          </cell>
          <cell r="G45" t="str">
            <v>Московская область</v>
          </cell>
        </row>
        <row r="46">
          <cell r="B46" t="str">
            <v>Арсеньев</v>
          </cell>
          <cell r="G46" t="str">
            <v>Мурманская область</v>
          </cell>
        </row>
        <row r="47">
          <cell r="B47" t="str">
            <v>Арск</v>
          </cell>
          <cell r="G47" t="str">
            <v>Ненецкий АО</v>
          </cell>
        </row>
        <row r="48">
          <cell r="B48" t="str">
            <v>Артём</v>
          </cell>
          <cell r="G48" t="str">
            <v>Нижегородская область</v>
          </cell>
        </row>
        <row r="49">
          <cell r="B49" t="str">
            <v>Артёмовск</v>
          </cell>
          <cell r="G49" t="str">
            <v>Новгородская область</v>
          </cell>
        </row>
        <row r="50">
          <cell r="B50" t="str">
            <v>Артёмовский</v>
          </cell>
          <cell r="G50" t="str">
            <v>Новосибирская область</v>
          </cell>
        </row>
        <row r="51">
          <cell r="B51" t="str">
            <v>Архангельск</v>
          </cell>
          <cell r="G51" t="str">
            <v>Омская область</v>
          </cell>
        </row>
        <row r="52">
          <cell r="B52" t="str">
            <v>Асбест</v>
          </cell>
          <cell r="G52" t="str">
            <v>Оренбургская область</v>
          </cell>
        </row>
        <row r="53">
          <cell r="B53" t="str">
            <v>Асино</v>
          </cell>
          <cell r="G53" t="str">
            <v>Орловская область</v>
          </cell>
        </row>
        <row r="54">
          <cell r="B54" t="str">
            <v>Астрахань</v>
          </cell>
          <cell r="G54" t="str">
            <v>Пензенская область</v>
          </cell>
        </row>
        <row r="55">
          <cell r="B55" t="str">
            <v>Аткарск</v>
          </cell>
          <cell r="G55" t="str">
            <v>Пермский край</v>
          </cell>
        </row>
        <row r="56">
          <cell r="B56" t="str">
            <v>Ахтубинск</v>
          </cell>
          <cell r="G56" t="str">
            <v>Приморский край</v>
          </cell>
        </row>
        <row r="57">
          <cell r="B57" t="str">
            <v>Ачинск</v>
          </cell>
          <cell r="G57" t="str">
            <v>Псковская область</v>
          </cell>
        </row>
        <row r="58">
          <cell r="B58" t="str">
            <v>Аша</v>
          </cell>
          <cell r="G58" t="str">
            <v>Ростовская область</v>
          </cell>
        </row>
        <row r="59">
          <cell r="B59" t="str">
            <v>Бабаево</v>
          </cell>
          <cell r="G59" t="str">
            <v>Рязанская область</v>
          </cell>
        </row>
        <row r="60">
          <cell r="B60" t="str">
            <v>Бабушкин</v>
          </cell>
          <cell r="G60" t="str">
            <v>Самарская область</v>
          </cell>
        </row>
        <row r="61">
          <cell r="B61" t="str">
            <v>Бавлы</v>
          </cell>
          <cell r="G61" t="str">
            <v>Санкт-Петербург</v>
          </cell>
        </row>
        <row r="62">
          <cell r="B62" t="str">
            <v>Багратионовск</v>
          </cell>
          <cell r="G62" t="str">
            <v>Саратовская область</v>
          </cell>
        </row>
        <row r="63">
          <cell r="B63" t="str">
            <v>Байкальск</v>
          </cell>
          <cell r="G63" t="str">
            <v>Сахалинская область</v>
          </cell>
        </row>
        <row r="64">
          <cell r="B64" t="str">
            <v>Баймак</v>
          </cell>
          <cell r="G64" t="str">
            <v>Свердловская область</v>
          </cell>
        </row>
        <row r="65">
          <cell r="B65" t="str">
            <v>Бакал</v>
          </cell>
          <cell r="G65" t="str">
            <v>Севастополь</v>
          </cell>
        </row>
        <row r="66">
          <cell r="B66" t="str">
            <v>Баксан</v>
          </cell>
          <cell r="G66" t="str">
            <v>Северная Осетия — Алания</v>
          </cell>
        </row>
        <row r="67">
          <cell r="B67" t="str">
            <v>Балабаново</v>
          </cell>
          <cell r="G67" t="str">
            <v>Смоленская область</v>
          </cell>
        </row>
        <row r="68">
          <cell r="B68" t="str">
            <v>Балаково</v>
          </cell>
          <cell r="G68" t="str">
            <v>Ставропольский край</v>
          </cell>
        </row>
        <row r="69">
          <cell r="B69" t="str">
            <v>Балахна</v>
          </cell>
          <cell r="G69" t="str">
            <v>Тамбовская область</v>
          </cell>
        </row>
        <row r="70">
          <cell r="B70" t="str">
            <v>Балашиха</v>
          </cell>
          <cell r="G70" t="str">
            <v>Татарстан</v>
          </cell>
        </row>
        <row r="71">
          <cell r="B71" t="str">
            <v>Балашов</v>
          </cell>
          <cell r="G71" t="str">
            <v>Тверская область</v>
          </cell>
        </row>
        <row r="72">
          <cell r="B72" t="str">
            <v>Балей</v>
          </cell>
          <cell r="G72" t="str">
            <v>Томская область</v>
          </cell>
        </row>
        <row r="73">
          <cell r="B73" t="str">
            <v>Балтийск</v>
          </cell>
          <cell r="G73" t="str">
            <v>Тульская область</v>
          </cell>
        </row>
        <row r="74">
          <cell r="B74" t="str">
            <v>Барабинск</v>
          </cell>
          <cell r="G74" t="str">
            <v>Тыва</v>
          </cell>
        </row>
        <row r="75">
          <cell r="B75" t="str">
            <v>Барнаул</v>
          </cell>
          <cell r="G75" t="str">
            <v>Тюменская область</v>
          </cell>
        </row>
        <row r="76">
          <cell r="B76" t="str">
            <v>Барыш</v>
          </cell>
          <cell r="G76" t="str">
            <v>Удмуртия</v>
          </cell>
        </row>
        <row r="77">
          <cell r="B77" t="str">
            <v>Батайск</v>
          </cell>
          <cell r="G77" t="str">
            <v>Ульяновская область</v>
          </cell>
        </row>
        <row r="78">
          <cell r="B78" t="str">
            <v>Бахчисарай</v>
          </cell>
          <cell r="G78" t="str">
            <v>Хабаровский край</v>
          </cell>
        </row>
        <row r="79">
          <cell r="B79" t="str">
            <v>Бежецк</v>
          </cell>
          <cell r="G79" t="str">
            <v>Хакасия</v>
          </cell>
        </row>
        <row r="80">
          <cell r="B80" t="str">
            <v>Белая Калитва</v>
          </cell>
          <cell r="G80" t="str">
            <v>Ханты-Мансийский АО — Югра</v>
          </cell>
        </row>
        <row r="81">
          <cell r="B81" t="str">
            <v>Белая Холуница</v>
          </cell>
          <cell r="G81" t="str">
            <v>Челябинская область</v>
          </cell>
        </row>
        <row r="82">
          <cell r="B82" t="str">
            <v>Белгород</v>
          </cell>
          <cell r="G82" t="str">
            <v>Чечня</v>
          </cell>
        </row>
        <row r="83">
          <cell r="B83" t="str">
            <v>Белебей</v>
          </cell>
          <cell r="G83" t="str">
            <v>Чувашия</v>
          </cell>
        </row>
        <row r="84">
          <cell r="B84" t="str">
            <v>Белёв</v>
          </cell>
          <cell r="G84" t="str">
            <v>Чукотский АО</v>
          </cell>
        </row>
        <row r="85">
          <cell r="B85" t="str">
            <v>Белинский</v>
          </cell>
          <cell r="G85" t="str">
            <v>Якутия</v>
          </cell>
        </row>
        <row r="86">
          <cell r="B86" t="str">
            <v>Белово</v>
          </cell>
          <cell r="G86" t="str">
            <v>Ямало-Ненецкий АО</v>
          </cell>
        </row>
        <row r="87">
          <cell r="B87" t="str">
            <v>Белогорск</v>
          </cell>
          <cell r="G87" t="str">
            <v>Ярославская область</v>
          </cell>
        </row>
        <row r="88">
          <cell r="B88" t="str">
            <v>Белогорск</v>
          </cell>
        </row>
        <row r="89">
          <cell r="B89" t="str">
            <v>Белозерск</v>
          </cell>
        </row>
        <row r="90">
          <cell r="B90" t="str">
            <v>Белокуриха</v>
          </cell>
        </row>
        <row r="91">
          <cell r="B91" t="str">
            <v>Беломорск</v>
          </cell>
        </row>
        <row r="92">
          <cell r="B92" t="str">
            <v>Белоозёрский</v>
          </cell>
        </row>
        <row r="93">
          <cell r="B93" t="str">
            <v>Белорецк</v>
          </cell>
        </row>
        <row r="94">
          <cell r="B94" t="str">
            <v>Белореченск</v>
          </cell>
        </row>
        <row r="95">
          <cell r="B95" t="str">
            <v>Белоусово</v>
          </cell>
        </row>
        <row r="96">
          <cell r="B96" t="str">
            <v>Белоярский</v>
          </cell>
        </row>
        <row r="97">
          <cell r="B97" t="str">
            <v>Белый</v>
          </cell>
        </row>
        <row r="98">
          <cell r="B98" t="str">
            <v>Бердск</v>
          </cell>
        </row>
        <row r="99">
          <cell r="B99" t="str">
            <v>Березники</v>
          </cell>
        </row>
        <row r="100">
          <cell r="B100" t="str">
            <v>Берёзовский</v>
          </cell>
        </row>
        <row r="101">
          <cell r="B101" t="str">
            <v>Берёзовский</v>
          </cell>
        </row>
        <row r="102">
          <cell r="B102" t="str">
            <v>Беслан</v>
          </cell>
        </row>
        <row r="103">
          <cell r="B103" t="str">
            <v>Бийск</v>
          </cell>
        </row>
        <row r="104">
          <cell r="B104" t="str">
            <v>Бикин</v>
          </cell>
        </row>
        <row r="105">
          <cell r="B105" t="str">
            <v>Билибино</v>
          </cell>
        </row>
        <row r="106">
          <cell r="B106" t="str">
            <v>Биробиджан</v>
          </cell>
        </row>
        <row r="107">
          <cell r="B107" t="str">
            <v>Бирск</v>
          </cell>
        </row>
        <row r="108">
          <cell r="B108" t="str">
            <v>Бирюсинск</v>
          </cell>
        </row>
        <row r="109">
          <cell r="B109" t="str">
            <v>Бирюч</v>
          </cell>
        </row>
        <row r="110">
          <cell r="B110" t="str">
            <v>Благовещенск</v>
          </cell>
        </row>
        <row r="111">
          <cell r="B111" t="str">
            <v>Благовещенск</v>
          </cell>
        </row>
        <row r="112">
          <cell r="B112" t="str">
            <v>Благодарный</v>
          </cell>
        </row>
        <row r="113">
          <cell r="B113" t="str">
            <v>Бобров</v>
          </cell>
        </row>
        <row r="114">
          <cell r="B114" t="str">
            <v>Богданович</v>
          </cell>
        </row>
        <row r="115">
          <cell r="B115" t="str">
            <v>Богородицк</v>
          </cell>
        </row>
        <row r="116">
          <cell r="B116" t="str">
            <v>Богородск</v>
          </cell>
        </row>
        <row r="117">
          <cell r="B117" t="str">
            <v>Боготол</v>
          </cell>
        </row>
        <row r="118">
          <cell r="B118" t="str">
            <v>Богучар</v>
          </cell>
        </row>
        <row r="119">
          <cell r="B119" t="str">
            <v>Бодайбо</v>
          </cell>
        </row>
        <row r="120">
          <cell r="B120" t="str">
            <v>Бокситогорск</v>
          </cell>
        </row>
        <row r="121">
          <cell r="B121" t="str">
            <v>Болгар</v>
          </cell>
        </row>
        <row r="122">
          <cell r="B122" t="str">
            <v>Бологое</v>
          </cell>
        </row>
        <row r="123">
          <cell r="B123" t="str">
            <v>Болотное</v>
          </cell>
        </row>
        <row r="124">
          <cell r="B124" t="str">
            <v>Болохово</v>
          </cell>
        </row>
        <row r="125">
          <cell r="B125" t="str">
            <v>Болхов</v>
          </cell>
        </row>
        <row r="126">
          <cell r="B126" t="str">
            <v>Большой Камень</v>
          </cell>
        </row>
        <row r="127">
          <cell r="B127" t="str">
            <v>Бор</v>
          </cell>
        </row>
        <row r="128">
          <cell r="B128" t="str">
            <v>Борзя</v>
          </cell>
        </row>
        <row r="129">
          <cell r="B129" t="str">
            <v>Борисоглебск</v>
          </cell>
        </row>
        <row r="130">
          <cell r="B130" t="str">
            <v>Боровичи</v>
          </cell>
        </row>
        <row r="131">
          <cell r="B131" t="str">
            <v>Боровск</v>
          </cell>
        </row>
        <row r="132">
          <cell r="B132" t="str">
            <v>Бородино</v>
          </cell>
        </row>
        <row r="133">
          <cell r="B133" t="str">
            <v>Братск</v>
          </cell>
        </row>
        <row r="134">
          <cell r="B134" t="str">
            <v>Бронницы</v>
          </cell>
        </row>
        <row r="135">
          <cell r="B135" t="str">
            <v>Брянск</v>
          </cell>
        </row>
        <row r="136">
          <cell r="B136" t="str">
            <v>Бугульма</v>
          </cell>
        </row>
        <row r="137">
          <cell r="B137" t="str">
            <v>Бугуруслан</v>
          </cell>
        </row>
        <row r="138">
          <cell r="B138" t="str">
            <v>Будённовск</v>
          </cell>
        </row>
        <row r="139">
          <cell r="B139" t="str">
            <v>Бузулук</v>
          </cell>
        </row>
        <row r="140">
          <cell r="B140" t="str">
            <v>Буинск</v>
          </cell>
        </row>
        <row r="141">
          <cell r="B141" t="str">
            <v>Буй</v>
          </cell>
        </row>
        <row r="142">
          <cell r="B142" t="str">
            <v>Буйнакск</v>
          </cell>
        </row>
        <row r="143">
          <cell r="B143" t="str">
            <v>Бутурлиновка</v>
          </cell>
        </row>
        <row r="144">
          <cell r="B144" t="str">
            <v>Валдай</v>
          </cell>
        </row>
        <row r="145">
          <cell r="B145" t="str">
            <v>Валуйки</v>
          </cell>
        </row>
        <row r="146">
          <cell r="B146" t="str">
            <v>Велиж</v>
          </cell>
        </row>
        <row r="147">
          <cell r="B147" t="str">
            <v>Великие Луки</v>
          </cell>
        </row>
        <row r="148">
          <cell r="B148" t="str">
            <v>Великий Новгород</v>
          </cell>
        </row>
        <row r="149">
          <cell r="B149" t="str">
            <v>Великий Устюг</v>
          </cell>
        </row>
        <row r="150">
          <cell r="B150" t="str">
            <v>Вельск</v>
          </cell>
        </row>
        <row r="151">
          <cell r="B151" t="str">
            <v>Венёв</v>
          </cell>
        </row>
        <row r="152">
          <cell r="B152" t="str">
            <v>Верещагино</v>
          </cell>
        </row>
        <row r="153">
          <cell r="B153" t="str">
            <v>Верея</v>
          </cell>
        </row>
        <row r="154">
          <cell r="B154" t="str">
            <v>Верхнеуральск</v>
          </cell>
        </row>
        <row r="155">
          <cell r="B155" t="str">
            <v>Верхний Тагил</v>
          </cell>
        </row>
        <row r="156">
          <cell r="B156" t="str">
            <v>Верхний Уфалей</v>
          </cell>
        </row>
        <row r="157">
          <cell r="B157" t="str">
            <v>Верхняя Пышма</v>
          </cell>
        </row>
        <row r="158">
          <cell r="B158" t="str">
            <v>Верхняя Салда</v>
          </cell>
        </row>
        <row r="159">
          <cell r="B159" t="str">
            <v>Верхняя Тура</v>
          </cell>
        </row>
        <row r="160">
          <cell r="B160" t="str">
            <v>Верхотурье</v>
          </cell>
        </row>
        <row r="161">
          <cell r="B161" t="str">
            <v>Верхоянск</v>
          </cell>
        </row>
        <row r="162">
          <cell r="B162" t="str">
            <v>Весьегонск</v>
          </cell>
        </row>
        <row r="163">
          <cell r="B163" t="str">
            <v>Ветлуга</v>
          </cell>
        </row>
        <row r="164">
          <cell r="B164" t="str">
            <v>Видное</v>
          </cell>
        </row>
        <row r="165">
          <cell r="B165" t="str">
            <v>Вилюйск</v>
          </cell>
        </row>
        <row r="166">
          <cell r="B166" t="str">
            <v>Вилючинск</v>
          </cell>
        </row>
        <row r="167">
          <cell r="B167" t="str">
            <v>Вихоревка</v>
          </cell>
        </row>
        <row r="168">
          <cell r="B168" t="str">
            <v>Вичуга</v>
          </cell>
        </row>
        <row r="169">
          <cell r="B169" t="str">
            <v>Владивосток</v>
          </cell>
        </row>
        <row r="170">
          <cell r="B170" t="str">
            <v>Владикавказ</v>
          </cell>
        </row>
        <row r="171">
          <cell r="B171" t="str">
            <v>Владимир</v>
          </cell>
        </row>
        <row r="172">
          <cell r="B172" t="str">
            <v>Волгоград</v>
          </cell>
        </row>
        <row r="173">
          <cell r="B173" t="str">
            <v>Волгодонск</v>
          </cell>
        </row>
        <row r="174">
          <cell r="B174" t="str">
            <v>Волгореченск</v>
          </cell>
        </row>
        <row r="175">
          <cell r="B175" t="str">
            <v>Волжск</v>
          </cell>
        </row>
        <row r="176">
          <cell r="B176" t="str">
            <v>Волжский</v>
          </cell>
        </row>
        <row r="177">
          <cell r="B177" t="str">
            <v>Вологда</v>
          </cell>
        </row>
        <row r="178">
          <cell r="B178" t="str">
            <v>Володарск</v>
          </cell>
        </row>
        <row r="179">
          <cell r="B179" t="str">
            <v>Волоколамск</v>
          </cell>
        </row>
        <row r="180">
          <cell r="B180" t="str">
            <v>Волосово</v>
          </cell>
        </row>
        <row r="181">
          <cell r="B181" t="str">
            <v>Волхов</v>
          </cell>
        </row>
        <row r="182">
          <cell r="B182" t="str">
            <v>Волчанск</v>
          </cell>
        </row>
        <row r="183">
          <cell r="B183" t="str">
            <v>Вольск</v>
          </cell>
        </row>
        <row r="184">
          <cell r="B184" t="str">
            <v>Воркута</v>
          </cell>
        </row>
        <row r="185">
          <cell r="B185" t="str">
            <v>Воронеж</v>
          </cell>
        </row>
        <row r="186">
          <cell r="B186" t="str">
            <v>Ворсма</v>
          </cell>
        </row>
        <row r="187">
          <cell r="B187" t="str">
            <v>Воскресенск</v>
          </cell>
        </row>
        <row r="188">
          <cell r="B188" t="str">
            <v>Воткинск</v>
          </cell>
        </row>
        <row r="189">
          <cell r="B189" t="str">
            <v>Всеволожск</v>
          </cell>
        </row>
        <row r="190">
          <cell r="B190" t="str">
            <v>Вуктыл</v>
          </cell>
        </row>
        <row r="191">
          <cell r="B191" t="str">
            <v>Выборг</v>
          </cell>
        </row>
        <row r="192">
          <cell r="B192" t="str">
            <v>Выкса</v>
          </cell>
        </row>
        <row r="193">
          <cell r="B193" t="str">
            <v>Высоковск</v>
          </cell>
        </row>
        <row r="194">
          <cell r="B194" t="str">
            <v>Высоцк</v>
          </cell>
        </row>
        <row r="195">
          <cell r="B195" t="str">
            <v>Вытегра</v>
          </cell>
        </row>
        <row r="196">
          <cell r="B196" t="str">
            <v>Вышний Волочёк</v>
          </cell>
        </row>
        <row r="197">
          <cell r="B197" t="str">
            <v>Вяземский</v>
          </cell>
        </row>
        <row r="198">
          <cell r="B198" t="str">
            <v>Вязники</v>
          </cell>
        </row>
        <row r="199">
          <cell r="B199" t="str">
            <v>Вязьма</v>
          </cell>
        </row>
        <row r="200">
          <cell r="B200" t="str">
            <v>Вятские Поляны</v>
          </cell>
        </row>
        <row r="201">
          <cell r="B201" t="str">
            <v>Гаврилов Посад</v>
          </cell>
        </row>
        <row r="202">
          <cell r="B202" t="str">
            <v>Гаврилов-Ям</v>
          </cell>
        </row>
        <row r="203">
          <cell r="B203" t="str">
            <v>Гагарин</v>
          </cell>
        </row>
        <row r="204">
          <cell r="B204" t="str">
            <v>Гаджиево</v>
          </cell>
        </row>
        <row r="205">
          <cell r="B205" t="str">
            <v>Гай</v>
          </cell>
        </row>
        <row r="206">
          <cell r="B206" t="str">
            <v>Галич</v>
          </cell>
        </row>
        <row r="207">
          <cell r="B207" t="str">
            <v>Гатчина</v>
          </cell>
        </row>
        <row r="208">
          <cell r="B208" t="str">
            <v>Гвардейск</v>
          </cell>
        </row>
        <row r="209">
          <cell r="B209" t="str">
            <v>Гдов</v>
          </cell>
        </row>
        <row r="210">
          <cell r="B210" t="str">
            <v>Геленджик</v>
          </cell>
        </row>
        <row r="211">
          <cell r="B211" t="str">
            <v>Георгиевск</v>
          </cell>
        </row>
        <row r="212">
          <cell r="B212" t="str">
            <v>Глазов</v>
          </cell>
        </row>
        <row r="213">
          <cell r="B213" t="str">
            <v>Голицыно</v>
          </cell>
        </row>
        <row r="214">
          <cell r="B214" t="str">
            <v>Горбатов</v>
          </cell>
        </row>
        <row r="215">
          <cell r="B215" t="str">
            <v>Горно-Алтайск</v>
          </cell>
        </row>
        <row r="216">
          <cell r="B216" t="str">
            <v>Горнозаводск</v>
          </cell>
        </row>
        <row r="217">
          <cell r="B217" t="str">
            <v>Горняк</v>
          </cell>
        </row>
        <row r="218">
          <cell r="B218" t="str">
            <v>Городец</v>
          </cell>
        </row>
        <row r="219">
          <cell r="B219" t="str">
            <v>Городище</v>
          </cell>
        </row>
        <row r="220">
          <cell r="B220" t="str">
            <v>Городовиковск</v>
          </cell>
        </row>
        <row r="221">
          <cell r="B221" t="str">
            <v>Гороховец</v>
          </cell>
        </row>
        <row r="222">
          <cell r="B222" t="str">
            <v>Горячий Ключ</v>
          </cell>
        </row>
        <row r="223">
          <cell r="B223" t="str">
            <v>Грайворон</v>
          </cell>
        </row>
        <row r="224">
          <cell r="B224" t="str">
            <v>Гремячинск</v>
          </cell>
        </row>
        <row r="225">
          <cell r="B225" t="str">
            <v>Грозный</v>
          </cell>
        </row>
        <row r="226">
          <cell r="B226" t="str">
            <v>Грязи</v>
          </cell>
        </row>
        <row r="227">
          <cell r="B227" t="str">
            <v>Грязовец</v>
          </cell>
        </row>
        <row r="228">
          <cell r="B228" t="str">
            <v>Губаха</v>
          </cell>
        </row>
        <row r="229">
          <cell r="B229" t="str">
            <v>Губкин</v>
          </cell>
        </row>
        <row r="230">
          <cell r="B230" t="str">
            <v>Губкинский</v>
          </cell>
        </row>
        <row r="231">
          <cell r="B231" t="str">
            <v>Гудермес</v>
          </cell>
        </row>
        <row r="232">
          <cell r="B232" t="str">
            <v>Гуково</v>
          </cell>
        </row>
        <row r="233">
          <cell r="B233" t="str">
            <v>Гулькевичи</v>
          </cell>
        </row>
        <row r="234">
          <cell r="B234" t="str">
            <v>Гурьевск</v>
          </cell>
        </row>
        <row r="235">
          <cell r="B235" t="str">
            <v>Гурьевск</v>
          </cell>
        </row>
        <row r="236">
          <cell r="B236" t="str">
            <v>Гусев</v>
          </cell>
        </row>
        <row r="237">
          <cell r="B237" t="str">
            <v>Гусиноозёрск</v>
          </cell>
        </row>
        <row r="238">
          <cell r="B238" t="str">
            <v>Гусь-Хрустальный</v>
          </cell>
        </row>
        <row r="239">
          <cell r="B239" t="str">
            <v>Давлеканово</v>
          </cell>
        </row>
        <row r="240">
          <cell r="B240" t="str">
            <v>Дагестанские Огни</v>
          </cell>
        </row>
        <row r="241">
          <cell r="B241" t="str">
            <v>Далматово</v>
          </cell>
        </row>
        <row r="242">
          <cell r="B242" t="str">
            <v>Дальнегорск</v>
          </cell>
        </row>
        <row r="243">
          <cell r="B243" t="str">
            <v>Дальнереченск</v>
          </cell>
        </row>
        <row r="244">
          <cell r="B244" t="str">
            <v>Данилов</v>
          </cell>
        </row>
        <row r="245">
          <cell r="B245" t="str">
            <v>Данков</v>
          </cell>
        </row>
        <row r="246">
          <cell r="B246" t="str">
            <v>Дегтярск</v>
          </cell>
        </row>
        <row r="247">
          <cell r="B247" t="str">
            <v>Дедовск</v>
          </cell>
        </row>
        <row r="248">
          <cell r="B248" t="str">
            <v>Демидов</v>
          </cell>
        </row>
        <row r="249">
          <cell r="B249" t="str">
            <v>Дербент</v>
          </cell>
        </row>
        <row r="250">
          <cell r="B250" t="str">
            <v>Десногорск</v>
          </cell>
        </row>
        <row r="251">
          <cell r="B251" t="str">
            <v>Джанкой</v>
          </cell>
        </row>
        <row r="252">
          <cell r="B252" t="str">
            <v>Дзержинск</v>
          </cell>
        </row>
        <row r="253">
          <cell r="B253" t="str">
            <v>Дзержинский</v>
          </cell>
        </row>
        <row r="254">
          <cell r="B254" t="str">
            <v>Дивногорск</v>
          </cell>
        </row>
        <row r="255">
          <cell r="B255" t="str">
            <v>Дигора</v>
          </cell>
        </row>
        <row r="256">
          <cell r="B256" t="str">
            <v>Димитровград</v>
          </cell>
        </row>
        <row r="257">
          <cell r="B257" t="str">
            <v>Дмитриев</v>
          </cell>
        </row>
        <row r="258">
          <cell r="B258" t="str">
            <v>Дмитров</v>
          </cell>
        </row>
        <row r="259">
          <cell r="B259" t="str">
            <v>Дмитровск</v>
          </cell>
        </row>
        <row r="260">
          <cell r="B260" t="str">
            <v>Дно</v>
          </cell>
        </row>
        <row r="261">
          <cell r="B261" t="str">
            <v>Добрянка</v>
          </cell>
        </row>
        <row r="262">
          <cell r="B262" t="str">
            <v>Долгопрудный</v>
          </cell>
        </row>
        <row r="263">
          <cell r="B263" t="str">
            <v>Долинск</v>
          </cell>
        </row>
        <row r="264">
          <cell r="B264" t="str">
            <v>Домодедово</v>
          </cell>
        </row>
        <row r="265">
          <cell r="B265" t="str">
            <v>Донецк</v>
          </cell>
        </row>
        <row r="266">
          <cell r="B266" t="str">
            <v>Донской</v>
          </cell>
        </row>
        <row r="267">
          <cell r="B267" t="str">
            <v>Дорогобуж</v>
          </cell>
        </row>
        <row r="268">
          <cell r="B268" t="str">
            <v>Дрезна</v>
          </cell>
        </row>
        <row r="269">
          <cell r="B269" t="str">
            <v>Дубна</v>
          </cell>
        </row>
        <row r="270">
          <cell r="B270" t="str">
            <v>Дубовка</v>
          </cell>
        </row>
        <row r="271">
          <cell r="B271" t="str">
            <v>Дудинка</v>
          </cell>
        </row>
        <row r="272">
          <cell r="B272" t="str">
            <v>Духовщина</v>
          </cell>
        </row>
        <row r="273">
          <cell r="B273" t="str">
            <v>Дюртюли</v>
          </cell>
        </row>
        <row r="274">
          <cell r="B274" t="str">
            <v>Дятьково</v>
          </cell>
        </row>
        <row r="275">
          <cell r="B275" t="str">
            <v>Евпатория</v>
          </cell>
        </row>
        <row r="276">
          <cell r="B276" t="str">
            <v>Егорьевск</v>
          </cell>
        </row>
        <row r="277">
          <cell r="B277" t="str">
            <v>Ейск</v>
          </cell>
        </row>
        <row r="278">
          <cell r="B278" t="str">
            <v>Екатеринбург</v>
          </cell>
        </row>
        <row r="279">
          <cell r="B279" t="str">
            <v>Елабуга</v>
          </cell>
        </row>
        <row r="280">
          <cell r="B280" t="str">
            <v>Елец</v>
          </cell>
        </row>
        <row r="281">
          <cell r="B281" t="str">
            <v>Елизово</v>
          </cell>
        </row>
        <row r="282">
          <cell r="B282" t="str">
            <v>Ельня</v>
          </cell>
        </row>
        <row r="283">
          <cell r="B283" t="str">
            <v>Еманжелинск</v>
          </cell>
        </row>
        <row r="284">
          <cell r="B284" t="str">
            <v>Емва</v>
          </cell>
        </row>
        <row r="285">
          <cell r="B285" t="str">
            <v>Енисейск</v>
          </cell>
        </row>
        <row r="286">
          <cell r="B286" t="str">
            <v>Ермолино</v>
          </cell>
        </row>
        <row r="287">
          <cell r="B287" t="str">
            <v>Ершов</v>
          </cell>
        </row>
        <row r="288">
          <cell r="B288" t="str">
            <v>Ессентуки</v>
          </cell>
        </row>
        <row r="289">
          <cell r="B289" t="str">
            <v>Ефремов</v>
          </cell>
        </row>
        <row r="290">
          <cell r="B290" t="str">
            <v>Железноводск</v>
          </cell>
        </row>
        <row r="291">
          <cell r="B291" t="str">
            <v>Железногорск</v>
          </cell>
        </row>
        <row r="292">
          <cell r="B292" t="str">
            <v>Железногорск</v>
          </cell>
        </row>
        <row r="293">
          <cell r="B293" t="str">
            <v>Железногорск-Илимский</v>
          </cell>
        </row>
        <row r="294">
          <cell r="B294" t="str">
            <v>Жердевка</v>
          </cell>
        </row>
        <row r="295">
          <cell r="B295" t="str">
            <v>Жигулёвск</v>
          </cell>
        </row>
        <row r="296">
          <cell r="B296" t="str">
            <v>Жиздра</v>
          </cell>
        </row>
        <row r="297">
          <cell r="B297" t="str">
            <v>Жирновск</v>
          </cell>
        </row>
        <row r="298">
          <cell r="B298" t="str">
            <v>Жуков</v>
          </cell>
        </row>
        <row r="299">
          <cell r="B299" t="str">
            <v>Жуковка</v>
          </cell>
        </row>
        <row r="300">
          <cell r="B300" t="str">
            <v>Жуковский</v>
          </cell>
        </row>
        <row r="301">
          <cell r="B301" t="str">
            <v>Завитинск</v>
          </cell>
        </row>
        <row r="302">
          <cell r="B302" t="str">
            <v>Заводоуковск</v>
          </cell>
        </row>
        <row r="303">
          <cell r="B303" t="str">
            <v>Заволжск</v>
          </cell>
        </row>
        <row r="304">
          <cell r="B304" t="str">
            <v>Заволжье</v>
          </cell>
        </row>
        <row r="305">
          <cell r="B305" t="str">
            <v>Задонск</v>
          </cell>
        </row>
        <row r="306">
          <cell r="B306" t="str">
            <v>Заинск</v>
          </cell>
        </row>
        <row r="307">
          <cell r="B307" t="str">
            <v>Закаменск</v>
          </cell>
        </row>
        <row r="308">
          <cell r="B308" t="str">
            <v>Заозёрный</v>
          </cell>
        </row>
        <row r="309">
          <cell r="B309" t="str">
            <v>Заозёрск</v>
          </cell>
        </row>
        <row r="310">
          <cell r="B310" t="str">
            <v>Западная Двина</v>
          </cell>
        </row>
        <row r="311">
          <cell r="B311" t="str">
            <v>Заполярный</v>
          </cell>
        </row>
        <row r="312">
          <cell r="B312" t="str">
            <v>Зарайск</v>
          </cell>
        </row>
        <row r="313">
          <cell r="B313" t="str">
            <v>Заречный</v>
          </cell>
        </row>
        <row r="314">
          <cell r="B314" t="str">
            <v>Заречный</v>
          </cell>
        </row>
        <row r="315">
          <cell r="B315" t="str">
            <v>Заринск</v>
          </cell>
        </row>
        <row r="316">
          <cell r="B316" t="str">
            <v>Звенигово</v>
          </cell>
        </row>
        <row r="317">
          <cell r="B317" t="str">
            <v>Звенигород</v>
          </cell>
        </row>
        <row r="318">
          <cell r="B318" t="str">
            <v>Зверево</v>
          </cell>
        </row>
        <row r="319">
          <cell r="B319" t="str">
            <v>Зеленогорск</v>
          </cell>
        </row>
        <row r="320">
          <cell r="B320" t="str">
            <v>Зеленоградск</v>
          </cell>
        </row>
        <row r="321">
          <cell r="B321" t="str">
            <v>Зеленодольск</v>
          </cell>
        </row>
        <row r="322">
          <cell r="B322" t="str">
            <v>Зеленокумск</v>
          </cell>
        </row>
        <row r="323">
          <cell r="B323" t="str">
            <v>Зерноград</v>
          </cell>
        </row>
        <row r="324">
          <cell r="B324" t="str">
            <v>Зея</v>
          </cell>
        </row>
        <row r="325">
          <cell r="B325" t="str">
            <v>Зима</v>
          </cell>
        </row>
        <row r="326">
          <cell r="B326" t="str">
            <v>Златоуст</v>
          </cell>
        </row>
        <row r="327">
          <cell r="B327" t="str">
            <v>Злынка</v>
          </cell>
        </row>
        <row r="328">
          <cell r="B328" t="str">
            <v>Змеиногорск</v>
          </cell>
        </row>
        <row r="329">
          <cell r="B329" t="str">
            <v>Знаменск</v>
          </cell>
        </row>
        <row r="330">
          <cell r="B330" t="str">
            <v>Зубцов</v>
          </cell>
        </row>
        <row r="331">
          <cell r="B331" t="str">
            <v>Зуевка</v>
          </cell>
        </row>
        <row r="332">
          <cell r="B332" t="str">
            <v>Ивангород</v>
          </cell>
        </row>
        <row r="333">
          <cell r="B333" t="str">
            <v>Иваново</v>
          </cell>
        </row>
        <row r="334">
          <cell r="B334" t="str">
            <v>Ивантеевка</v>
          </cell>
        </row>
        <row r="335">
          <cell r="B335" t="str">
            <v>Ивдель</v>
          </cell>
        </row>
        <row r="336">
          <cell r="B336" t="str">
            <v>Игарка</v>
          </cell>
        </row>
        <row r="337">
          <cell r="B337" t="str">
            <v>Ижевск</v>
          </cell>
        </row>
        <row r="338">
          <cell r="B338" t="str">
            <v>Избербаш</v>
          </cell>
        </row>
        <row r="339">
          <cell r="B339" t="str">
            <v>Изобильный</v>
          </cell>
        </row>
        <row r="340">
          <cell r="B340" t="str">
            <v>Иланский</v>
          </cell>
        </row>
        <row r="341">
          <cell r="B341" t="str">
            <v>Инза</v>
          </cell>
        </row>
        <row r="342">
          <cell r="B342" t="str">
            <v>Иннополис</v>
          </cell>
        </row>
        <row r="343">
          <cell r="B343" t="str">
            <v>Инсар</v>
          </cell>
        </row>
        <row r="344">
          <cell r="B344" t="str">
            <v>Инта</v>
          </cell>
        </row>
        <row r="345">
          <cell r="B345" t="str">
            <v>Ипатово</v>
          </cell>
        </row>
        <row r="346">
          <cell r="B346" t="str">
            <v>Ирбит</v>
          </cell>
        </row>
        <row r="347">
          <cell r="B347" t="str">
            <v>Иркутск</v>
          </cell>
        </row>
        <row r="348">
          <cell r="B348" t="str">
            <v>Исилькуль</v>
          </cell>
        </row>
        <row r="349">
          <cell r="B349" t="str">
            <v>Искитим</v>
          </cell>
        </row>
        <row r="350">
          <cell r="B350" t="str">
            <v>Истра</v>
          </cell>
        </row>
        <row r="351">
          <cell r="B351" t="str">
            <v>Ишим</v>
          </cell>
        </row>
        <row r="352">
          <cell r="B352" t="str">
            <v>Ишимбай</v>
          </cell>
        </row>
        <row r="353">
          <cell r="B353" t="str">
            <v>Йошкар-Ола</v>
          </cell>
        </row>
        <row r="354">
          <cell r="B354" t="str">
            <v>Кадников</v>
          </cell>
        </row>
        <row r="355">
          <cell r="B355" t="str">
            <v>Казань</v>
          </cell>
        </row>
        <row r="356">
          <cell r="B356" t="str">
            <v>Калач</v>
          </cell>
        </row>
        <row r="357">
          <cell r="B357" t="str">
            <v>Калач-на-Дону</v>
          </cell>
        </row>
        <row r="358">
          <cell r="B358" t="str">
            <v>Калачинск</v>
          </cell>
        </row>
        <row r="359">
          <cell r="B359" t="str">
            <v>Калининград</v>
          </cell>
        </row>
        <row r="360">
          <cell r="B360" t="str">
            <v>Калининск</v>
          </cell>
        </row>
        <row r="361">
          <cell r="B361" t="str">
            <v>Калтан</v>
          </cell>
        </row>
        <row r="362">
          <cell r="B362" t="str">
            <v>Калуга</v>
          </cell>
        </row>
        <row r="363">
          <cell r="B363" t="str">
            <v>Калязин</v>
          </cell>
        </row>
        <row r="364">
          <cell r="B364" t="str">
            <v>Камбарка</v>
          </cell>
        </row>
        <row r="365">
          <cell r="B365" t="str">
            <v>Каменка</v>
          </cell>
        </row>
        <row r="366">
          <cell r="B366" t="str">
            <v>Каменногорск</v>
          </cell>
        </row>
        <row r="367">
          <cell r="B367" t="str">
            <v>Каменск-Уральский</v>
          </cell>
        </row>
        <row r="368">
          <cell r="B368" t="str">
            <v>Каменск-Шахтинский</v>
          </cell>
        </row>
        <row r="369">
          <cell r="B369" t="str">
            <v>Камень-на-Оби</v>
          </cell>
        </row>
        <row r="370">
          <cell r="B370" t="str">
            <v>Камешково</v>
          </cell>
        </row>
        <row r="371">
          <cell r="B371" t="str">
            <v>Камызяк</v>
          </cell>
        </row>
        <row r="372">
          <cell r="B372" t="str">
            <v>Камышин</v>
          </cell>
        </row>
        <row r="373">
          <cell r="B373" t="str">
            <v>Камышлов</v>
          </cell>
        </row>
        <row r="374">
          <cell r="B374" t="str">
            <v>Канаш</v>
          </cell>
        </row>
        <row r="375">
          <cell r="B375" t="str">
            <v>Кандалакша</v>
          </cell>
        </row>
        <row r="376">
          <cell r="B376" t="str">
            <v>Канск</v>
          </cell>
        </row>
        <row r="377">
          <cell r="B377" t="str">
            <v>Карабаново</v>
          </cell>
        </row>
        <row r="378">
          <cell r="B378" t="str">
            <v>Карабаш</v>
          </cell>
        </row>
        <row r="379">
          <cell r="B379" t="str">
            <v>Карабулак</v>
          </cell>
        </row>
        <row r="380">
          <cell r="B380" t="str">
            <v>Карасук</v>
          </cell>
        </row>
        <row r="381">
          <cell r="B381" t="str">
            <v>Карачаевск</v>
          </cell>
        </row>
        <row r="382">
          <cell r="B382" t="str">
            <v>Карачев</v>
          </cell>
        </row>
        <row r="383">
          <cell r="B383" t="str">
            <v>Каргат</v>
          </cell>
        </row>
        <row r="384">
          <cell r="B384" t="str">
            <v>Каргополь</v>
          </cell>
        </row>
        <row r="385">
          <cell r="B385" t="str">
            <v>Карпинск</v>
          </cell>
        </row>
        <row r="386">
          <cell r="B386" t="str">
            <v>Карталы</v>
          </cell>
        </row>
        <row r="387">
          <cell r="B387" t="str">
            <v>Касимов</v>
          </cell>
        </row>
        <row r="388">
          <cell r="B388" t="str">
            <v>Касли</v>
          </cell>
        </row>
        <row r="389">
          <cell r="B389" t="str">
            <v>Каспийск</v>
          </cell>
        </row>
        <row r="390">
          <cell r="B390" t="str">
            <v>Катав-Ивановск</v>
          </cell>
        </row>
        <row r="391">
          <cell r="B391" t="str">
            <v>Катайск</v>
          </cell>
        </row>
        <row r="392">
          <cell r="B392" t="str">
            <v>Качканар</v>
          </cell>
        </row>
        <row r="393">
          <cell r="B393" t="str">
            <v>Кашин</v>
          </cell>
        </row>
        <row r="394">
          <cell r="B394" t="str">
            <v>Кашира</v>
          </cell>
        </row>
        <row r="395">
          <cell r="B395" t="str">
            <v>Кедровый</v>
          </cell>
        </row>
        <row r="396">
          <cell r="B396" t="str">
            <v>Кемерово</v>
          </cell>
        </row>
        <row r="397">
          <cell r="B397" t="str">
            <v>Кемь</v>
          </cell>
        </row>
        <row r="398">
          <cell r="B398" t="str">
            <v>Керчь</v>
          </cell>
        </row>
        <row r="399">
          <cell r="B399" t="str">
            <v>Кизел</v>
          </cell>
        </row>
        <row r="400">
          <cell r="B400" t="str">
            <v>Кизилюрт</v>
          </cell>
        </row>
        <row r="401">
          <cell r="B401" t="str">
            <v>Кизляр</v>
          </cell>
        </row>
        <row r="402">
          <cell r="B402" t="str">
            <v>Кимовск</v>
          </cell>
        </row>
        <row r="403">
          <cell r="B403" t="str">
            <v>Кимры</v>
          </cell>
        </row>
        <row r="404">
          <cell r="B404" t="str">
            <v>Кингисепп</v>
          </cell>
        </row>
        <row r="405">
          <cell r="B405" t="str">
            <v>Кинель</v>
          </cell>
        </row>
        <row r="406">
          <cell r="B406" t="str">
            <v>Кинешма</v>
          </cell>
        </row>
        <row r="407">
          <cell r="B407" t="str">
            <v>Киреевск</v>
          </cell>
        </row>
        <row r="408">
          <cell r="B408" t="str">
            <v>Киренск</v>
          </cell>
        </row>
        <row r="409">
          <cell r="B409" t="str">
            <v>Киржач</v>
          </cell>
        </row>
        <row r="410">
          <cell r="B410" t="str">
            <v>Кириллов</v>
          </cell>
        </row>
        <row r="411">
          <cell r="B411" t="str">
            <v>Кириши</v>
          </cell>
        </row>
        <row r="412">
          <cell r="B412" t="str">
            <v>Киров</v>
          </cell>
        </row>
        <row r="413">
          <cell r="B413" t="str">
            <v>Киров</v>
          </cell>
        </row>
        <row r="414">
          <cell r="B414" t="str">
            <v>Кировград</v>
          </cell>
        </row>
        <row r="415">
          <cell r="B415" t="str">
            <v>Кирово-Чепецк</v>
          </cell>
        </row>
        <row r="416">
          <cell r="B416" t="str">
            <v>Кировск</v>
          </cell>
        </row>
        <row r="417">
          <cell r="B417" t="str">
            <v>Кировск</v>
          </cell>
        </row>
        <row r="418">
          <cell r="B418" t="str">
            <v>Кирс</v>
          </cell>
        </row>
        <row r="419">
          <cell r="B419" t="str">
            <v>Кирсанов</v>
          </cell>
        </row>
        <row r="420">
          <cell r="B420" t="str">
            <v>Киселёвск</v>
          </cell>
        </row>
        <row r="421">
          <cell r="B421" t="str">
            <v>Кисловодск</v>
          </cell>
        </row>
        <row r="422">
          <cell r="B422" t="str">
            <v>Клин</v>
          </cell>
        </row>
        <row r="423">
          <cell r="B423" t="str">
            <v>Клинцы</v>
          </cell>
        </row>
        <row r="424">
          <cell r="B424" t="str">
            <v>Княгинино</v>
          </cell>
        </row>
        <row r="425">
          <cell r="B425" t="str">
            <v>Ковдор</v>
          </cell>
        </row>
        <row r="426">
          <cell r="B426" t="str">
            <v>Ковров</v>
          </cell>
        </row>
        <row r="427">
          <cell r="B427" t="str">
            <v>Ковылкино</v>
          </cell>
        </row>
        <row r="428">
          <cell r="B428" t="str">
            <v>Когалым</v>
          </cell>
        </row>
        <row r="429">
          <cell r="B429" t="str">
            <v>Кодинск</v>
          </cell>
        </row>
        <row r="430">
          <cell r="B430" t="str">
            <v>Козельск</v>
          </cell>
        </row>
        <row r="431">
          <cell r="B431" t="str">
            <v>Козловка</v>
          </cell>
        </row>
        <row r="432">
          <cell r="B432" t="str">
            <v>Козьмодемьянск</v>
          </cell>
        </row>
        <row r="433">
          <cell r="B433" t="str">
            <v>Кола</v>
          </cell>
        </row>
        <row r="434">
          <cell r="B434" t="str">
            <v>Кологрив</v>
          </cell>
        </row>
        <row r="435">
          <cell r="B435" t="str">
            <v>Коломна</v>
          </cell>
        </row>
        <row r="436">
          <cell r="B436" t="str">
            <v>Колпашево</v>
          </cell>
        </row>
        <row r="437">
          <cell r="B437" t="str">
            <v>Кольчугино</v>
          </cell>
        </row>
        <row r="438">
          <cell r="B438" t="str">
            <v>Коммунар</v>
          </cell>
        </row>
        <row r="439">
          <cell r="B439" t="str">
            <v>Комсомольск</v>
          </cell>
        </row>
        <row r="440">
          <cell r="B440" t="str">
            <v>Комсомольск-на-Амуре</v>
          </cell>
        </row>
        <row r="441">
          <cell r="B441" t="str">
            <v>Конаково</v>
          </cell>
        </row>
        <row r="442">
          <cell r="B442" t="str">
            <v>Кондопога</v>
          </cell>
        </row>
        <row r="443">
          <cell r="B443" t="str">
            <v>Кондрово</v>
          </cell>
        </row>
        <row r="444">
          <cell r="B444" t="str">
            <v>Константиновск</v>
          </cell>
        </row>
        <row r="445">
          <cell r="B445" t="str">
            <v>Копейск</v>
          </cell>
        </row>
        <row r="446">
          <cell r="B446" t="str">
            <v>Кораблино</v>
          </cell>
        </row>
        <row r="447">
          <cell r="B447" t="str">
            <v>Кореновск</v>
          </cell>
        </row>
        <row r="448">
          <cell r="B448" t="str">
            <v>Коркино</v>
          </cell>
        </row>
        <row r="449">
          <cell r="B449" t="str">
            <v>Королёв</v>
          </cell>
        </row>
        <row r="450">
          <cell r="B450" t="str">
            <v>Короча</v>
          </cell>
        </row>
        <row r="451">
          <cell r="B451" t="str">
            <v>Корсаков</v>
          </cell>
        </row>
        <row r="452">
          <cell r="B452" t="str">
            <v>Коряжма</v>
          </cell>
        </row>
        <row r="453">
          <cell r="B453" t="str">
            <v>Костерёво</v>
          </cell>
        </row>
        <row r="454">
          <cell r="B454" t="str">
            <v>Костомукша</v>
          </cell>
        </row>
        <row r="455">
          <cell r="B455" t="str">
            <v>Кострома</v>
          </cell>
        </row>
        <row r="456">
          <cell r="B456" t="str">
            <v>Котельники</v>
          </cell>
        </row>
        <row r="457">
          <cell r="B457" t="str">
            <v>Котельниково</v>
          </cell>
        </row>
        <row r="458">
          <cell r="B458" t="str">
            <v>Котельнич</v>
          </cell>
        </row>
        <row r="459">
          <cell r="B459" t="str">
            <v>Котлас</v>
          </cell>
        </row>
        <row r="460">
          <cell r="B460" t="str">
            <v>Котово</v>
          </cell>
        </row>
        <row r="461">
          <cell r="B461" t="str">
            <v>Котовск</v>
          </cell>
        </row>
        <row r="462">
          <cell r="B462" t="str">
            <v>Кохма</v>
          </cell>
        </row>
        <row r="463">
          <cell r="B463" t="str">
            <v>Красавино</v>
          </cell>
        </row>
        <row r="464">
          <cell r="B464" t="str">
            <v>Красноармейск</v>
          </cell>
        </row>
        <row r="465">
          <cell r="B465" t="str">
            <v>Красноармейск</v>
          </cell>
        </row>
        <row r="466">
          <cell r="B466" t="str">
            <v>Красновишерск</v>
          </cell>
        </row>
        <row r="467">
          <cell r="B467" t="str">
            <v>Красногорск</v>
          </cell>
        </row>
        <row r="468">
          <cell r="B468" t="str">
            <v>Краснодар</v>
          </cell>
        </row>
        <row r="469">
          <cell r="B469" t="str">
            <v>Краснозаводск</v>
          </cell>
        </row>
        <row r="470">
          <cell r="B470" t="str">
            <v>Краснознаменск</v>
          </cell>
        </row>
        <row r="471">
          <cell r="B471" t="str">
            <v>Краснознаменск</v>
          </cell>
        </row>
        <row r="472">
          <cell r="B472" t="str">
            <v>Краснокаменск</v>
          </cell>
        </row>
        <row r="473">
          <cell r="B473" t="str">
            <v>Краснокамск</v>
          </cell>
        </row>
        <row r="474">
          <cell r="B474" t="str">
            <v>Красноперекопск</v>
          </cell>
        </row>
        <row r="475">
          <cell r="B475" t="str">
            <v>Краснослободск</v>
          </cell>
        </row>
        <row r="476">
          <cell r="B476" t="str">
            <v>Краснослободск</v>
          </cell>
        </row>
        <row r="477">
          <cell r="B477" t="str">
            <v>Краснотурьинск</v>
          </cell>
        </row>
        <row r="478">
          <cell r="B478" t="str">
            <v>Красноуральск</v>
          </cell>
        </row>
        <row r="479">
          <cell r="B479" t="str">
            <v>Красноуфимск</v>
          </cell>
        </row>
        <row r="480">
          <cell r="B480" t="str">
            <v>Красноярск</v>
          </cell>
        </row>
        <row r="481">
          <cell r="B481" t="str">
            <v>Красный Кут</v>
          </cell>
        </row>
        <row r="482">
          <cell r="B482" t="str">
            <v>Красный Сулин</v>
          </cell>
        </row>
        <row r="483">
          <cell r="B483" t="str">
            <v>Красный Холм</v>
          </cell>
        </row>
        <row r="484">
          <cell r="B484" t="str">
            <v>Кремёнки</v>
          </cell>
        </row>
        <row r="485">
          <cell r="B485" t="str">
            <v>Кропоткин</v>
          </cell>
        </row>
        <row r="486">
          <cell r="B486" t="str">
            <v>Крымск</v>
          </cell>
        </row>
        <row r="487">
          <cell r="B487" t="str">
            <v>Кстово</v>
          </cell>
        </row>
        <row r="488">
          <cell r="B488" t="str">
            <v>Кубинка</v>
          </cell>
        </row>
        <row r="489">
          <cell r="B489" t="str">
            <v>Кувандык</v>
          </cell>
        </row>
        <row r="490">
          <cell r="B490" t="str">
            <v>Кувшиново</v>
          </cell>
        </row>
        <row r="491">
          <cell r="B491" t="str">
            <v>Кудрово</v>
          </cell>
        </row>
        <row r="492">
          <cell r="B492" t="str">
            <v>Кудымкар</v>
          </cell>
        </row>
        <row r="493">
          <cell r="B493" t="str">
            <v>Кузнецк</v>
          </cell>
        </row>
        <row r="494">
          <cell r="B494" t="str">
            <v>Куйбышев</v>
          </cell>
        </row>
        <row r="495">
          <cell r="B495" t="str">
            <v>Кукмор</v>
          </cell>
        </row>
        <row r="496">
          <cell r="B496" t="str">
            <v>Кулебаки</v>
          </cell>
        </row>
        <row r="497">
          <cell r="B497" t="str">
            <v>Кумертау</v>
          </cell>
        </row>
        <row r="498">
          <cell r="B498" t="str">
            <v>Кунгур</v>
          </cell>
        </row>
        <row r="499">
          <cell r="B499" t="str">
            <v>Купино</v>
          </cell>
        </row>
        <row r="500">
          <cell r="B500" t="str">
            <v>Курган</v>
          </cell>
        </row>
        <row r="501">
          <cell r="B501" t="str">
            <v>Курганинск</v>
          </cell>
        </row>
        <row r="502">
          <cell r="B502" t="str">
            <v>Курильск</v>
          </cell>
        </row>
        <row r="503">
          <cell r="B503" t="str">
            <v>Курлово</v>
          </cell>
        </row>
        <row r="504">
          <cell r="B504" t="str">
            <v>Куровское</v>
          </cell>
        </row>
        <row r="505">
          <cell r="B505" t="str">
            <v>Курск</v>
          </cell>
        </row>
        <row r="506">
          <cell r="B506" t="str">
            <v>Куртамыш</v>
          </cell>
        </row>
        <row r="507">
          <cell r="B507" t="str">
            <v>Курчалой</v>
          </cell>
        </row>
        <row r="508">
          <cell r="B508" t="str">
            <v>Курчатов</v>
          </cell>
        </row>
        <row r="509">
          <cell r="B509" t="str">
            <v>Куса</v>
          </cell>
        </row>
        <row r="510">
          <cell r="B510" t="str">
            <v>Кушва</v>
          </cell>
        </row>
        <row r="511">
          <cell r="B511" t="str">
            <v>Кызыл</v>
          </cell>
        </row>
        <row r="512">
          <cell r="B512" t="str">
            <v>Кыштым</v>
          </cell>
        </row>
        <row r="513">
          <cell r="B513" t="str">
            <v>Кяхта</v>
          </cell>
        </row>
        <row r="514">
          <cell r="B514" t="str">
            <v>Лабинск</v>
          </cell>
        </row>
        <row r="515">
          <cell r="B515" t="str">
            <v>Лабытнанги</v>
          </cell>
        </row>
        <row r="516">
          <cell r="B516" t="str">
            <v>Лагань</v>
          </cell>
        </row>
        <row r="517">
          <cell r="B517" t="str">
            <v>Ладушкин</v>
          </cell>
        </row>
        <row r="518">
          <cell r="B518" t="str">
            <v>Лаишево</v>
          </cell>
        </row>
        <row r="519">
          <cell r="B519" t="str">
            <v>Лакинск</v>
          </cell>
        </row>
        <row r="520">
          <cell r="B520" t="str">
            <v>Лангепас</v>
          </cell>
        </row>
        <row r="521">
          <cell r="B521" t="str">
            <v>Лахденпохья</v>
          </cell>
        </row>
        <row r="522">
          <cell r="B522" t="str">
            <v>Лебедянь</v>
          </cell>
        </row>
        <row r="523">
          <cell r="B523" t="str">
            <v>Лениногорск</v>
          </cell>
        </row>
        <row r="524">
          <cell r="B524" t="str">
            <v>Ленинск</v>
          </cell>
        </row>
        <row r="525">
          <cell r="B525" t="str">
            <v>Ленинск-Кузнецкий</v>
          </cell>
        </row>
        <row r="526">
          <cell r="B526" t="str">
            <v>Ленск</v>
          </cell>
        </row>
        <row r="527">
          <cell r="B527" t="str">
            <v>Лермонтов</v>
          </cell>
        </row>
        <row r="528">
          <cell r="B528" t="str">
            <v>Лесной</v>
          </cell>
        </row>
        <row r="529">
          <cell r="B529" t="str">
            <v>Лесозаводск</v>
          </cell>
        </row>
        <row r="530">
          <cell r="B530" t="str">
            <v>Лесосибирск</v>
          </cell>
        </row>
        <row r="531">
          <cell r="B531" t="str">
            <v>Ливны</v>
          </cell>
        </row>
        <row r="532">
          <cell r="B532" t="str">
            <v>Ликино-Дулёво</v>
          </cell>
        </row>
        <row r="533">
          <cell r="B533" t="str">
            <v>Липецк</v>
          </cell>
        </row>
        <row r="534">
          <cell r="B534" t="str">
            <v>Липки</v>
          </cell>
        </row>
        <row r="535">
          <cell r="B535" t="str">
            <v>Лиски</v>
          </cell>
        </row>
        <row r="536">
          <cell r="B536" t="str">
            <v>Лихославль</v>
          </cell>
        </row>
        <row r="537">
          <cell r="B537" t="str">
            <v>Лобня</v>
          </cell>
        </row>
        <row r="538">
          <cell r="B538" t="str">
            <v>Лодейное Поле</v>
          </cell>
        </row>
        <row r="539">
          <cell r="B539" t="str">
            <v>Лосино-Петровский</v>
          </cell>
        </row>
        <row r="540">
          <cell r="B540" t="str">
            <v>Луга</v>
          </cell>
        </row>
        <row r="541">
          <cell r="B541" t="str">
            <v>Луза</v>
          </cell>
        </row>
        <row r="542">
          <cell r="B542" t="str">
            <v>Лукоянов</v>
          </cell>
        </row>
        <row r="543">
          <cell r="B543" t="str">
            <v>Луховицы</v>
          </cell>
        </row>
        <row r="544">
          <cell r="B544" t="str">
            <v>Лысково</v>
          </cell>
        </row>
        <row r="545">
          <cell r="B545" t="str">
            <v>Лысьва</v>
          </cell>
        </row>
        <row r="546">
          <cell r="B546" t="str">
            <v>Лыткарино</v>
          </cell>
        </row>
        <row r="547">
          <cell r="B547" t="str">
            <v>Льгов</v>
          </cell>
        </row>
        <row r="548">
          <cell r="B548" t="str">
            <v>Любань</v>
          </cell>
        </row>
        <row r="549">
          <cell r="B549" t="str">
            <v>Люберцы</v>
          </cell>
        </row>
        <row r="550">
          <cell r="B550" t="str">
            <v>Любим</v>
          </cell>
        </row>
        <row r="551">
          <cell r="B551" t="str">
            <v>Людиново</v>
          </cell>
        </row>
        <row r="552">
          <cell r="B552" t="str">
            <v>Лянтор</v>
          </cell>
        </row>
        <row r="553">
          <cell r="B553" t="str">
            <v>Магадан</v>
          </cell>
        </row>
        <row r="554">
          <cell r="B554" t="str">
            <v>Магас</v>
          </cell>
        </row>
        <row r="555">
          <cell r="B555" t="str">
            <v>Магнитогорск</v>
          </cell>
        </row>
        <row r="556">
          <cell r="B556" t="str">
            <v>Майкоп</v>
          </cell>
        </row>
        <row r="557">
          <cell r="B557" t="str">
            <v>Майский</v>
          </cell>
        </row>
        <row r="558">
          <cell r="B558" t="str">
            <v>Макаров</v>
          </cell>
        </row>
        <row r="559">
          <cell r="B559" t="str">
            <v>Макарьев</v>
          </cell>
        </row>
        <row r="560">
          <cell r="B560" t="str">
            <v>Макушино</v>
          </cell>
        </row>
        <row r="561">
          <cell r="B561" t="str">
            <v>Малая Вишера</v>
          </cell>
        </row>
        <row r="562">
          <cell r="B562" t="str">
            <v>Малгобек</v>
          </cell>
        </row>
        <row r="563">
          <cell r="B563" t="str">
            <v>Малмыж</v>
          </cell>
        </row>
        <row r="564">
          <cell r="B564" t="str">
            <v>Малоархангельск</v>
          </cell>
        </row>
        <row r="565">
          <cell r="B565" t="str">
            <v>Малоярославец</v>
          </cell>
        </row>
        <row r="566">
          <cell r="B566" t="str">
            <v>Мамадыш</v>
          </cell>
        </row>
        <row r="567">
          <cell r="B567" t="str">
            <v>Мамоново</v>
          </cell>
        </row>
        <row r="568">
          <cell r="B568" t="str">
            <v>Мантурово</v>
          </cell>
        </row>
        <row r="569">
          <cell r="B569" t="str">
            <v>Мариинск</v>
          </cell>
        </row>
        <row r="570">
          <cell r="B570" t="str">
            <v>Мариинский Посад</v>
          </cell>
        </row>
        <row r="571">
          <cell r="B571" t="str">
            <v>Маркс</v>
          </cell>
        </row>
        <row r="572">
          <cell r="B572" t="str">
            <v>Махачкала</v>
          </cell>
        </row>
        <row r="573">
          <cell r="B573" t="str">
            <v>Мглин</v>
          </cell>
        </row>
        <row r="574">
          <cell r="B574" t="str">
            <v>Мегион</v>
          </cell>
        </row>
        <row r="575">
          <cell r="B575" t="str">
            <v>Медвежьегорск</v>
          </cell>
        </row>
        <row r="576">
          <cell r="B576" t="str">
            <v>Медногорск</v>
          </cell>
        </row>
        <row r="577">
          <cell r="B577" t="str">
            <v>Медынь</v>
          </cell>
        </row>
        <row r="578">
          <cell r="B578" t="str">
            <v>Межгорье</v>
          </cell>
        </row>
        <row r="579">
          <cell r="B579" t="str">
            <v>Междуреченск</v>
          </cell>
        </row>
        <row r="580">
          <cell r="B580" t="str">
            <v>Мезень</v>
          </cell>
        </row>
        <row r="581">
          <cell r="B581" t="str">
            <v>Меленки</v>
          </cell>
        </row>
        <row r="582">
          <cell r="B582" t="str">
            <v>Мелеуз</v>
          </cell>
        </row>
        <row r="583">
          <cell r="B583" t="str">
            <v>Менделеевск</v>
          </cell>
        </row>
        <row r="584">
          <cell r="B584" t="str">
            <v>Мензелинск</v>
          </cell>
        </row>
        <row r="585">
          <cell r="B585" t="str">
            <v>Мещовск</v>
          </cell>
        </row>
        <row r="586">
          <cell r="B586" t="str">
            <v>Миасс</v>
          </cell>
        </row>
        <row r="587">
          <cell r="B587" t="str">
            <v>Микунь</v>
          </cell>
        </row>
        <row r="588">
          <cell r="B588" t="str">
            <v>Миллерово</v>
          </cell>
        </row>
        <row r="589">
          <cell r="B589" t="str">
            <v>Минеральные Воды</v>
          </cell>
        </row>
        <row r="590">
          <cell r="B590" t="str">
            <v>Минусинск</v>
          </cell>
        </row>
        <row r="591">
          <cell r="B591" t="str">
            <v>Миньяр</v>
          </cell>
        </row>
        <row r="592">
          <cell r="B592" t="str">
            <v>Мирный</v>
          </cell>
        </row>
        <row r="593">
          <cell r="B593" t="str">
            <v>Мирный</v>
          </cell>
        </row>
        <row r="594">
          <cell r="B594" t="str">
            <v>Михайлов</v>
          </cell>
        </row>
        <row r="595">
          <cell r="B595" t="str">
            <v>Михайловка</v>
          </cell>
        </row>
        <row r="596">
          <cell r="B596" t="str">
            <v>Михайловск</v>
          </cell>
        </row>
        <row r="597">
          <cell r="B597" t="str">
            <v>Михайловск</v>
          </cell>
        </row>
        <row r="598">
          <cell r="B598" t="str">
            <v>Мичуринск</v>
          </cell>
        </row>
        <row r="599">
          <cell r="B599" t="str">
            <v>Могоча</v>
          </cell>
        </row>
        <row r="600">
          <cell r="B600" t="str">
            <v>Можайск</v>
          </cell>
        </row>
        <row r="601">
          <cell r="B601" t="str">
            <v>Можга</v>
          </cell>
        </row>
        <row r="602">
          <cell r="B602" t="str">
            <v>Моздок</v>
          </cell>
        </row>
        <row r="603">
          <cell r="B603" t="str">
            <v>Мончегорск</v>
          </cell>
        </row>
        <row r="604">
          <cell r="B604" t="str">
            <v>Морозовск</v>
          </cell>
        </row>
        <row r="605">
          <cell r="B605" t="str">
            <v>Моршанск</v>
          </cell>
        </row>
        <row r="606">
          <cell r="B606" t="str">
            <v>Мосальск</v>
          </cell>
        </row>
        <row r="607">
          <cell r="B607" t="str">
            <v>Москва</v>
          </cell>
        </row>
        <row r="608">
          <cell r="B608" t="str">
            <v>Муравленко</v>
          </cell>
        </row>
        <row r="609">
          <cell r="B609" t="str">
            <v>Мураши</v>
          </cell>
        </row>
        <row r="610">
          <cell r="B610" t="str">
            <v>Мурино</v>
          </cell>
        </row>
        <row r="611">
          <cell r="B611" t="str">
            <v>Мурманск</v>
          </cell>
        </row>
        <row r="612">
          <cell r="B612" t="str">
            <v>Муром</v>
          </cell>
        </row>
        <row r="613">
          <cell r="B613" t="str">
            <v>Мценск</v>
          </cell>
        </row>
        <row r="614">
          <cell r="B614" t="str">
            <v>Мыски</v>
          </cell>
        </row>
        <row r="615">
          <cell r="B615" t="str">
            <v>Мытищи</v>
          </cell>
        </row>
        <row r="616">
          <cell r="B616" t="str">
            <v>Мышкин</v>
          </cell>
        </row>
        <row r="617">
          <cell r="B617" t="str">
            <v>Набережные Челны</v>
          </cell>
        </row>
        <row r="618">
          <cell r="B618" t="str">
            <v>Навашино</v>
          </cell>
        </row>
        <row r="619">
          <cell r="B619" t="str">
            <v>Наволоки</v>
          </cell>
        </row>
        <row r="620">
          <cell r="B620" t="str">
            <v>Надым</v>
          </cell>
        </row>
        <row r="621">
          <cell r="B621" t="str">
            <v>Назарово</v>
          </cell>
        </row>
        <row r="622">
          <cell r="B622" t="str">
            <v>Назрань</v>
          </cell>
        </row>
        <row r="623">
          <cell r="B623" t="str">
            <v>Называевск</v>
          </cell>
        </row>
        <row r="624">
          <cell r="B624" t="str">
            <v>Нальчик</v>
          </cell>
        </row>
        <row r="625">
          <cell r="B625" t="str">
            <v>Нариманов</v>
          </cell>
        </row>
        <row r="626">
          <cell r="B626" t="str">
            <v>Наро-Фоминск</v>
          </cell>
        </row>
        <row r="627">
          <cell r="B627" t="str">
            <v>Нарткала</v>
          </cell>
        </row>
        <row r="628">
          <cell r="B628" t="str">
            <v>Нарьян-Мар</v>
          </cell>
        </row>
        <row r="629">
          <cell r="B629" t="str">
            <v>Находка</v>
          </cell>
        </row>
        <row r="630">
          <cell r="B630" t="str">
            <v>Невель</v>
          </cell>
        </row>
        <row r="631">
          <cell r="B631" t="str">
            <v>Невельск</v>
          </cell>
        </row>
        <row r="632">
          <cell r="B632" t="str">
            <v>Невинномысск</v>
          </cell>
        </row>
        <row r="633">
          <cell r="B633" t="str">
            <v>Невьянск</v>
          </cell>
        </row>
        <row r="634">
          <cell r="B634" t="str">
            <v>Нелидово</v>
          </cell>
        </row>
        <row r="635">
          <cell r="B635" t="str">
            <v>Неман</v>
          </cell>
        </row>
        <row r="636">
          <cell r="B636" t="str">
            <v>Нерехта</v>
          </cell>
        </row>
        <row r="637">
          <cell r="B637" t="str">
            <v>Нерчинск</v>
          </cell>
        </row>
        <row r="638">
          <cell r="B638" t="str">
            <v>Нерюнгри</v>
          </cell>
        </row>
        <row r="639">
          <cell r="B639" t="str">
            <v>Нестеров</v>
          </cell>
        </row>
        <row r="640">
          <cell r="B640" t="str">
            <v>Нефтегорск</v>
          </cell>
        </row>
        <row r="641">
          <cell r="B641" t="str">
            <v>Нефтекамск</v>
          </cell>
        </row>
        <row r="642">
          <cell r="B642" t="str">
            <v>Нефтекумск</v>
          </cell>
        </row>
        <row r="643">
          <cell r="B643" t="str">
            <v>Нефтеюганск</v>
          </cell>
        </row>
        <row r="644">
          <cell r="B644" t="str">
            <v>Нея</v>
          </cell>
        </row>
        <row r="645">
          <cell r="B645" t="str">
            <v>Нижневартовск</v>
          </cell>
        </row>
        <row r="646">
          <cell r="B646" t="str">
            <v>Нижнекамск</v>
          </cell>
        </row>
        <row r="647">
          <cell r="B647" t="str">
            <v>Нижнеудинск</v>
          </cell>
        </row>
        <row r="648">
          <cell r="B648" t="str">
            <v>Нижние Серги</v>
          </cell>
        </row>
        <row r="649">
          <cell r="B649" t="str">
            <v>Нижний Ломов</v>
          </cell>
        </row>
        <row r="650">
          <cell r="B650" t="str">
            <v>Нижний Новгород</v>
          </cell>
        </row>
        <row r="651">
          <cell r="B651" t="str">
            <v>Нижний Тагил</v>
          </cell>
        </row>
        <row r="652">
          <cell r="B652" t="str">
            <v>Нижняя Салда</v>
          </cell>
        </row>
        <row r="653">
          <cell r="B653" t="str">
            <v>Нижняя Тура</v>
          </cell>
        </row>
        <row r="654">
          <cell r="B654" t="str">
            <v>Николаевск</v>
          </cell>
        </row>
        <row r="655">
          <cell r="B655" t="str">
            <v>Николаевск-на-Амуре</v>
          </cell>
        </row>
        <row r="656">
          <cell r="B656" t="str">
            <v>Никольск</v>
          </cell>
        </row>
        <row r="657">
          <cell r="B657" t="str">
            <v>Никольск</v>
          </cell>
        </row>
        <row r="658">
          <cell r="B658" t="str">
            <v>Никольское</v>
          </cell>
        </row>
        <row r="659">
          <cell r="B659" t="str">
            <v>Новая Ладога</v>
          </cell>
        </row>
        <row r="660">
          <cell r="B660" t="str">
            <v>Новая Ляля</v>
          </cell>
        </row>
        <row r="661">
          <cell r="B661" t="str">
            <v>Новоалександровск</v>
          </cell>
        </row>
        <row r="662">
          <cell r="B662" t="str">
            <v>Новоалтайск</v>
          </cell>
        </row>
        <row r="663">
          <cell r="B663" t="str">
            <v>Новоаннинский</v>
          </cell>
        </row>
        <row r="664">
          <cell r="B664" t="str">
            <v>Нововоронеж</v>
          </cell>
        </row>
        <row r="665">
          <cell r="B665" t="str">
            <v>Новодвинск</v>
          </cell>
        </row>
        <row r="666">
          <cell r="B666" t="str">
            <v>Новозыбков</v>
          </cell>
        </row>
        <row r="667">
          <cell r="B667" t="str">
            <v>Новокубанск</v>
          </cell>
        </row>
        <row r="668">
          <cell r="B668" t="str">
            <v>Новокузнецк</v>
          </cell>
        </row>
        <row r="669">
          <cell r="B669" t="str">
            <v>Новокуйбышевск</v>
          </cell>
        </row>
        <row r="670">
          <cell r="B670" t="str">
            <v>Новомичуринск</v>
          </cell>
        </row>
        <row r="671">
          <cell r="B671" t="str">
            <v>Новомосковск</v>
          </cell>
        </row>
        <row r="672">
          <cell r="B672" t="str">
            <v>Новопавловск</v>
          </cell>
        </row>
        <row r="673">
          <cell r="B673" t="str">
            <v>Новоржев</v>
          </cell>
        </row>
        <row r="674">
          <cell r="B674" t="str">
            <v>Новороссийск</v>
          </cell>
        </row>
        <row r="675">
          <cell r="B675" t="str">
            <v>Новосибирск</v>
          </cell>
        </row>
        <row r="676">
          <cell r="B676" t="str">
            <v>Новосиль</v>
          </cell>
        </row>
        <row r="677">
          <cell r="B677" t="str">
            <v>Новосокольники</v>
          </cell>
        </row>
        <row r="678">
          <cell r="B678" t="str">
            <v>Новотроицк</v>
          </cell>
        </row>
        <row r="679">
          <cell r="B679" t="str">
            <v>Новоузенск</v>
          </cell>
        </row>
        <row r="680">
          <cell r="B680" t="str">
            <v>Новоульяновск</v>
          </cell>
        </row>
        <row r="681">
          <cell r="B681" t="str">
            <v>Новоуральск</v>
          </cell>
        </row>
        <row r="682">
          <cell r="B682" t="str">
            <v>Новохопёрск</v>
          </cell>
        </row>
        <row r="683">
          <cell r="B683" t="str">
            <v>Новочебоксарск</v>
          </cell>
        </row>
        <row r="684">
          <cell r="B684" t="str">
            <v>Новочеркасск</v>
          </cell>
        </row>
        <row r="685">
          <cell r="B685" t="str">
            <v>Новошахтинск</v>
          </cell>
        </row>
        <row r="686">
          <cell r="B686" t="str">
            <v>Новый Оскол</v>
          </cell>
        </row>
        <row r="687">
          <cell r="B687" t="str">
            <v>Новый Уренгой</v>
          </cell>
        </row>
        <row r="688">
          <cell r="B688" t="str">
            <v>Ногинск</v>
          </cell>
        </row>
        <row r="689">
          <cell r="B689" t="str">
            <v>Нолинск</v>
          </cell>
        </row>
        <row r="690">
          <cell r="B690" t="str">
            <v>Норильск</v>
          </cell>
        </row>
        <row r="691">
          <cell r="B691" t="str">
            <v>Ноябрьск</v>
          </cell>
        </row>
        <row r="692">
          <cell r="B692" t="str">
            <v>Нурлат</v>
          </cell>
        </row>
        <row r="693">
          <cell r="B693" t="str">
            <v>Нытва</v>
          </cell>
        </row>
        <row r="694">
          <cell r="B694" t="str">
            <v>Нюрба</v>
          </cell>
        </row>
        <row r="695">
          <cell r="B695" t="str">
            <v>Нягань</v>
          </cell>
        </row>
        <row r="696">
          <cell r="B696" t="str">
            <v>Нязепетровск</v>
          </cell>
        </row>
        <row r="697">
          <cell r="B697" t="str">
            <v>Няндома</v>
          </cell>
        </row>
        <row r="698">
          <cell r="B698" t="str">
            <v>Облучье</v>
          </cell>
        </row>
        <row r="699">
          <cell r="B699" t="str">
            <v>Обнинск</v>
          </cell>
        </row>
        <row r="700">
          <cell r="B700" t="str">
            <v>Обоянь</v>
          </cell>
        </row>
        <row r="701">
          <cell r="B701" t="str">
            <v>Обь</v>
          </cell>
        </row>
        <row r="702">
          <cell r="B702" t="str">
            <v>Одинцово</v>
          </cell>
        </row>
        <row r="703">
          <cell r="B703" t="str">
            <v>Озёрск</v>
          </cell>
        </row>
        <row r="704">
          <cell r="B704" t="str">
            <v>Озёрск</v>
          </cell>
        </row>
        <row r="705">
          <cell r="B705" t="str">
            <v>Озёры</v>
          </cell>
        </row>
        <row r="706">
          <cell r="B706" t="str">
            <v>Октябрьск</v>
          </cell>
        </row>
        <row r="707">
          <cell r="B707" t="str">
            <v>Октябрьский</v>
          </cell>
        </row>
        <row r="708">
          <cell r="B708" t="str">
            <v>Окуловка</v>
          </cell>
        </row>
        <row r="709">
          <cell r="B709" t="str">
            <v>Олёкминск</v>
          </cell>
        </row>
        <row r="710">
          <cell r="B710" t="str">
            <v>Оленегорск</v>
          </cell>
        </row>
        <row r="711">
          <cell r="B711" t="str">
            <v>Олонец</v>
          </cell>
        </row>
        <row r="712">
          <cell r="B712" t="str">
            <v>Омск</v>
          </cell>
        </row>
        <row r="713">
          <cell r="B713" t="str">
            <v>Омутнинск</v>
          </cell>
        </row>
        <row r="714">
          <cell r="B714" t="str">
            <v>Онега</v>
          </cell>
        </row>
        <row r="715">
          <cell r="B715" t="str">
            <v>Опочка</v>
          </cell>
        </row>
        <row r="716">
          <cell r="B716" t="str">
            <v>Орёл</v>
          </cell>
        </row>
        <row r="717">
          <cell r="B717" t="str">
            <v>Оренбург</v>
          </cell>
        </row>
        <row r="718">
          <cell r="B718" t="str">
            <v>Орехово-Зуево</v>
          </cell>
        </row>
        <row r="719">
          <cell r="B719" t="str">
            <v>Орлов</v>
          </cell>
        </row>
        <row r="720">
          <cell r="B720" t="str">
            <v>Орск</v>
          </cell>
        </row>
        <row r="721">
          <cell r="B721" t="str">
            <v>Оса</v>
          </cell>
        </row>
        <row r="722">
          <cell r="B722" t="str">
            <v>Осинники</v>
          </cell>
        </row>
        <row r="723">
          <cell r="B723" t="str">
            <v>Осташков</v>
          </cell>
        </row>
        <row r="724">
          <cell r="B724" t="str">
            <v>Остров</v>
          </cell>
        </row>
        <row r="725">
          <cell r="B725" t="str">
            <v>Островной</v>
          </cell>
        </row>
        <row r="726">
          <cell r="B726" t="str">
            <v>Острогожск</v>
          </cell>
        </row>
        <row r="727">
          <cell r="B727" t="str">
            <v>Отрадное</v>
          </cell>
        </row>
        <row r="728">
          <cell r="B728" t="str">
            <v>Отрадный</v>
          </cell>
        </row>
        <row r="729">
          <cell r="B729" t="str">
            <v>Оха</v>
          </cell>
        </row>
        <row r="730">
          <cell r="B730" t="str">
            <v>Оханск</v>
          </cell>
        </row>
        <row r="731">
          <cell r="B731" t="str">
            <v>Очёр</v>
          </cell>
        </row>
        <row r="732">
          <cell r="B732" t="str">
            <v>Павлово</v>
          </cell>
        </row>
        <row r="733">
          <cell r="B733" t="str">
            <v>Павловск</v>
          </cell>
        </row>
        <row r="734">
          <cell r="B734" t="str">
            <v>Павловский Посад</v>
          </cell>
        </row>
        <row r="735">
          <cell r="B735" t="str">
            <v>Палласовка</v>
          </cell>
        </row>
        <row r="736">
          <cell r="B736" t="str">
            <v>Партизанск</v>
          </cell>
        </row>
        <row r="737">
          <cell r="B737" t="str">
            <v>Певек</v>
          </cell>
        </row>
        <row r="738">
          <cell r="B738" t="str">
            <v>Пенза</v>
          </cell>
        </row>
        <row r="739">
          <cell r="B739" t="str">
            <v>Первомайск</v>
          </cell>
        </row>
        <row r="740">
          <cell r="B740" t="str">
            <v>Первоуральск</v>
          </cell>
        </row>
        <row r="741">
          <cell r="B741" t="str">
            <v>Перевоз</v>
          </cell>
        </row>
        <row r="742">
          <cell r="B742" t="str">
            <v>Пересвет</v>
          </cell>
        </row>
        <row r="743">
          <cell r="B743" t="str">
            <v>Переславль-Залесский</v>
          </cell>
        </row>
        <row r="744">
          <cell r="B744" t="str">
            <v>Пермь</v>
          </cell>
        </row>
        <row r="745">
          <cell r="B745" t="str">
            <v>Пестово</v>
          </cell>
        </row>
        <row r="746">
          <cell r="B746" t="str">
            <v>Петров Вал</v>
          </cell>
        </row>
        <row r="747">
          <cell r="B747" t="str">
            <v>Петровск</v>
          </cell>
        </row>
        <row r="748">
          <cell r="B748" t="str">
            <v>Петровск-Забайкальский</v>
          </cell>
        </row>
        <row r="749">
          <cell r="B749" t="str">
            <v>Петрозаводск</v>
          </cell>
        </row>
        <row r="750">
          <cell r="B750" t="str">
            <v>Петропавловск-Камчатский</v>
          </cell>
        </row>
        <row r="751">
          <cell r="B751" t="str">
            <v>Петухово</v>
          </cell>
        </row>
        <row r="752">
          <cell r="B752" t="str">
            <v>Петушки</v>
          </cell>
        </row>
        <row r="753">
          <cell r="B753" t="str">
            <v>Печора</v>
          </cell>
        </row>
        <row r="754">
          <cell r="B754" t="str">
            <v>Печоры</v>
          </cell>
        </row>
        <row r="755">
          <cell r="B755" t="str">
            <v>Пикалёво</v>
          </cell>
        </row>
        <row r="756">
          <cell r="B756" t="str">
            <v>Пионерский</v>
          </cell>
        </row>
        <row r="757">
          <cell r="B757" t="str">
            <v>Питкяранта</v>
          </cell>
        </row>
        <row r="758">
          <cell r="B758" t="str">
            <v>Плавск</v>
          </cell>
        </row>
        <row r="759">
          <cell r="B759" t="str">
            <v>Пласт</v>
          </cell>
        </row>
        <row r="760">
          <cell r="B760" t="str">
            <v>Плёс</v>
          </cell>
        </row>
        <row r="761">
          <cell r="B761" t="str">
            <v>Поворино</v>
          </cell>
        </row>
        <row r="762">
          <cell r="B762" t="str">
            <v>Подольск</v>
          </cell>
        </row>
        <row r="763">
          <cell r="B763" t="str">
            <v>Подпорожье</v>
          </cell>
        </row>
        <row r="764">
          <cell r="B764" t="str">
            <v>Покачи</v>
          </cell>
        </row>
        <row r="765">
          <cell r="B765" t="str">
            <v>Покров</v>
          </cell>
        </row>
        <row r="766">
          <cell r="B766" t="str">
            <v>Покровск</v>
          </cell>
        </row>
        <row r="767">
          <cell r="B767" t="str">
            <v>Полевской</v>
          </cell>
        </row>
        <row r="768">
          <cell r="B768" t="str">
            <v>Полесск</v>
          </cell>
        </row>
        <row r="769">
          <cell r="B769" t="str">
            <v>Полысаево</v>
          </cell>
        </row>
        <row r="770">
          <cell r="B770" t="str">
            <v>Полярные Зори</v>
          </cell>
        </row>
        <row r="771">
          <cell r="B771" t="str">
            <v>Полярный</v>
          </cell>
        </row>
        <row r="772">
          <cell r="B772" t="str">
            <v>Поронайск</v>
          </cell>
        </row>
        <row r="773">
          <cell r="B773" t="str">
            <v>Порхов</v>
          </cell>
        </row>
        <row r="774">
          <cell r="B774" t="str">
            <v>Похвистнево</v>
          </cell>
        </row>
        <row r="775">
          <cell r="B775" t="str">
            <v>Почеп</v>
          </cell>
        </row>
        <row r="776">
          <cell r="B776" t="str">
            <v>Починок</v>
          </cell>
        </row>
        <row r="777">
          <cell r="B777" t="str">
            <v>Пошехонье</v>
          </cell>
        </row>
        <row r="778">
          <cell r="B778" t="str">
            <v>Правдинск</v>
          </cell>
        </row>
        <row r="779">
          <cell r="B779" t="str">
            <v>Приволжск</v>
          </cell>
        </row>
        <row r="780">
          <cell r="B780" t="str">
            <v>Приморск</v>
          </cell>
        </row>
        <row r="781">
          <cell r="B781" t="str">
            <v>Приморск</v>
          </cell>
        </row>
        <row r="782">
          <cell r="B782" t="str">
            <v>Приморско-Ахтарск</v>
          </cell>
        </row>
        <row r="783">
          <cell r="B783" t="str">
            <v>Приозерск</v>
          </cell>
        </row>
        <row r="784">
          <cell r="B784" t="str">
            <v>Прокопьевск</v>
          </cell>
        </row>
        <row r="785">
          <cell r="B785" t="str">
            <v>Пролетарск</v>
          </cell>
        </row>
        <row r="786">
          <cell r="B786" t="str">
            <v>Протвино</v>
          </cell>
        </row>
        <row r="787">
          <cell r="B787" t="str">
            <v>Прохладный</v>
          </cell>
        </row>
        <row r="788">
          <cell r="B788" t="str">
            <v>Псков</v>
          </cell>
        </row>
        <row r="789">
          <cell r="B789" t="str">
            <v>Пугачёв</v>
          </cell>
        </row>
        <row r="790">
          <cell r="B790" t="str">
            <v>Пудож</v>
          </cell>
        </row>
        <row r="791">
          <cell r="B791" t="str">
            <v>Пустошка</v>
          </cell>
        </row>
        <row r="792">
          <cell r="B792" t="str">
            <v>Пучеж</v>
          </cell>
        </row>
        <row r="793">
          <cell r="B793" t="str">
            <v>Пушкино</v>
          </cell>
        </row>
        <row r="794">
          <cell r="B794" t="str">
            <v>Пущино</v>
          </cell>
        </row>
        <row r="795">
          <cell r="B795" t="str">
            <v>Пыталово</v>
          </cell>
        </row>
        <row r="796">
          <cell r="B796" t="str">
            <v>Пыть-Ях</v>
          </cell>
        </row>
        <row r="797">
          <cell r="B797" t="str">
            <v>Пятигорск</v>
          </cell>
        </row>
        <row r="798">
          <cell r="B798" t="str">
            <v>Радужный</v>
          </cell>
        </row>
        <row r="799">
          <cell r="B799" t="str">
            <v>Радужный</v>
          </cell>
        </row>
        <row r="800">
          <cell r="B800" t="str">
            <v>Райчихинск</v>
          </cell>
        </row>
        <row r="801">
          <cell r="B801" t="str">
            <v>Раменское</v>
          </cell>
        </row>
        <row r="802">
          <cell r="B802" t="str">
            <v>Рассказово</v>
          </cell>
        </row>
        <row r="803">
          <cell r="B803" t="str">
            <v>Ревда</v>
          </cell>
        </row>
        <row r="804">
          <cell r="B804" t="str">
            <v>Реж</v>
          </cell>
        </row>
        <row r="805">
          <cell r="B805" t="str">
            <v>Реутов</v>
          </cell>
        </row>
        <row r="806">
          <cell r="B806" t="str">
            <v>Ржев</v>
          </cell>
        </row>
        <row r="807">
          <cell r="B807" t="str">
            <v>Родники</v>
          </cell>
        </row>
        <row r="808">
          <cell r="B808" t="str">
            <v>Рославль</v>
          </cell>
        </row>
        <row r="809">
          <cell r="B809" t="str">
            <v>Россошь</v>
          </cell>
        </row>
        <row r="810">
          <cell r="B810" t="str">
            <v>Ростов-на-Дону</v>
          </cell>
        </row>
        <row r="811">
          <cell r="B811" t="str">
            <v>Ростов</v>
          </cell>
        </row>
        <row r="812">
          <cell r="B812" t="str">
            <v>Рошаль</v>
          </cell>
        </row>
        <row r="813">
          <cell r="B813" t="str">
            <v>Ртищево</v>
          </cell>
        </row>
        <row r="814">
          <cell r="B814" t="str">
            <v>Рубцовск</v>
          </cell>
        </row>
        <row r="815">
          <cell r="B815" t="str">
            <v>Рудня</v>
          </cell>
        </row>
        <row r="816">
          <cell r="B816" t="str">
            <v>Руза</v>
          </cell>
        </row>
        <row r="817">
          <cell r="B817" t="str">
            <v>Рузаевка</v>
          </cell>
        </row>
        <row r="818">
          <cell r="B818" t="str">
            <v>Рыбинск</v>
          </cell>
        </row>
        <row r="819">
          <cell r="B819" t="str">
            <v>Рыбное</v>
          </cell>
        </row>
        <row r="820">
          <cell r="B820" t="str">
            <v>Рыльск</v>
          </cell>
        </row>
        <row r="821">
          <cell r="B821" t="str">
            <v>Ряжск</v>
          </cell>
        </row>
        <row r="822">
          <cell r="B822" t="str">
            <v>Рязань</v>
          </cell>
        </row>
        <row r="823">
          <cell r="B823" t="str">
            <v>Саки</v>
          </cell>
        </row>
        <row r="824">
          <cell r="B824" t="str">
            <v>Салават</v>
          </cell>
        </row>
        <row r="825">
          <cell r="B825" t="str">
            <v>Салаир</v>
          </cell>
        </row>
        <row r="826">
          <cell r="B826" t="str">
            <v>Салехард</v>
          </cell>
        </row>
        <row r="827">
          <cell r="B827" t="str">
            <v>Сальск</v>
          </cell>
        </row>
        <row r="828">
          <cell r="B828" t="str">
            <v>Самара</v>
          </cell>
        </row>
        <row r="829">
          <cell r="B829" t="str">
            <v>Санкт-Петербург</v>
          </cell>
        </row>
        <row r="830">
          <cell r="B830" t="str">
            <v>Саранск</v>
          </cell>
        </row>
        <row r="831">
          <cell r="B831" t="str">
            <v>Сарапул</v>
          </cell>
        </row>
        <row r="832">
          <cell r="B832" t="str">
            <v>Саратов</v>
          </cell>
        </row>
        <row r="833">
          <cell r="B833" t="str">
            <v>Саров</v>
          </cell>
        </row>
        <row r="834">
          <cell r="B834" t="str">
            <v>Сасово</v>
          </cell>
        </row>
        <row r="835">
          <cell r="B835" t="str">
            <v>Сатка</v>
          </cell>
        </row>
        <row r="836">
          <cell r="B836" t="str">
            <v>Сафоново</v>
          </cell>
        </row>
        <row r="837">
          <cell r="B837" t="str">
            <v>Саяногорск</v>
          </cell>
        </row>
        <row r="838">
          <cell r="B838" t="str">
            <v>Саянск</v>
          </cell>
        </row>
        <row r="839">
          <cell r="B839" t="str">
            <v>Светлогорск</v>
          </cell>
        </row>
        <row r="840">
          <cell r="B840" t="str">
            <v>Светлоград</v>
          </cell>
        </row>
        <row r="841">
          <cell r="B841" t="str">
            <v>Светлый</v>
          </cell>
        </row>
        <row r="842">
          <cell r="B842" t="str">
            <v>Светогорск</v>
          </cell>
        </row>
        <row r="843">
          <cell r="B843" t="str">
            <v>Свирск</v>
          </cell>
        </row>
        <row r="844">
          <cell r="B844" t="str">
            <v>Свободный</v>
          </cell>
        </row>
        <row r="845">
          <cell r="B845" t="str">
            <v>Себеж</v>
          </cell>
        </row>
        <row r="846">
          <cell r="B846" t="str">
            <v>Севастополь</v>
          </cell>
        </row>
        <row r="847">
          <cell r="B847" t="str">
            <v>Северо-Курильск</v>
          </cell>
        </row>
        <row r="848">
          <cell r="B848" t="str">
            <v>Северобайкальск</v>
          </cell>
        </row>
        <row r="849">
          <cell r="B849" t="str">
            <v>Северодвинск</v>
          </cell>
        </row>
        <row r="850">
          <cell r="B850" t="str">
            <v>Североморск</v>
          </cell>
        </row>
        <row r="851">
          <cell r="B851" t="str">
            <v>Североуральск</v>
          </cell>
        </row>
        <row r="852">
          <cell r="B852" t="str">
            <v>Северск</v>
          </cell>
        </row>
        <row r="853">
          <cell r="B853" t="str">
            <v>Севск</v>
          </cell>
        </row>
        <row r="854">
          <cell r="B854" t="str">
            <v>Сегежа</v>
          </cell>
        </row>
        <row r="855">
          <cell r="B855" t="str">
            <v>Сельцо</v>
          </cell>
        </row>
        <row r="856">
          <cell r="B856" t="str">
            <v>Семёнов</v>
          </cell>
        </row>
        <row r="857">
          <cell r="B857" t="str">
            <v>Семикаракорск</v>
          </cell>
        </row>
        <row r="858">
          <cell r="B858" t="str">
            <v>Семилуки</v>
          </cell>
        </row>
        <row r="859">
          <cell r="B859" t="str">
            <v>Сенгилей</v>
          </cell>
        </row>
        <row r="860">
          <cell r="B860" t="str">
            <v>Серафимович</v>
          </cell>
        </row>
        <row r="861">
          <cell r="B861" t="str">
            <v>Сергач</v>
          </cell>
        </row>
        <row r="862">
          <cell r="B862" t="str">
            <v>Сергиев Посад</v>
          </cell>
        </row>
        <row r="863">
          <cell r="B863" t="str">
            <v>Сердобск</v>
          </cell>
        </row>
        <row r="864">
          <cell r="B864" t="str">
            <v>Серов</v>
          </cell>
        </row>
        <row r="865">
          <cell r="B865" t="str">
            <v>Серпухов</v>
          </cell>
        </row>
        <row r="866">
          <cell r="B866" t="str">
            <v>Сертолово</v>
          </cell>
        </row>
        <row r="867">
          <cell r="B867" t="str">
            <v>Сибай</v>
          </cell>
        </row>
        <row r="868">
          <cell r="B868" t="str">
            <v>Сим</v>
          </cell>
        </row>
        <row r="869">
          <cell r="B869" t="str">
            <v>Симферополь</v>
          </cell>
        </row>
        <row r="870">
          <cell r="B870" t="str">
            <v>Сковородино</v>
          </cell>
        </row>
        <row r="871">
          <cell r="B871" t="str">
            <v>Скопин</v>
          </cell>
        </row>
        <row r="872">
          <cell r="B872" t="str">
            <v>Славгород</v>
          </cell>
        </row>
        <row r="873">
          <cell r="B873" t="str">
            <v>Славск</v>
          </cell>
        </row>
        <row r="874">
          <cell r="B874" t="str">
            <v>Славянск-на-Кубани</v>
          </cell>
        </row>
        <row r="875">
          <cell r="B875" t="str">
            <v>Сланцы</v>
          </cell>
        </row>
        <row r="876">
          <cell r="B876" t="str">
            <v>Слободской</v>
          </cell>
        </row>
        <row r="877">
          <cell r="B877" t="str">
            <v>Слюдянка</v>
          </cell>
        </row>
        <row r="878">
          <cell r="B878" t="str">
            <v>Смоленск</v>
          </cell>
        </row>
        <row r="879">
          <cell r="B879" t="str">
            <v>Снежинск</v>
          </cell>
        </row>
        <row r="880">
          <cell r="B880" t="str">
            <v>Снежногорск</v>
          </cell>
        </row>
        <row r="881">
          <cell r="B881" t="str">
            <v>Собинка</v>
          </cell>
        </row>
        <row r="882">
          <cell r="B882" t="str">
            <v>Советск</v>
          </cell>
        </row>
        <row r="883">
          <cell r="B883" t="str">
            <v>Советск</v>
          </cell>
        </row>
        <row r="884">
          <cell r="B884" t="str">
            <v>Советск</v>
          </cell>
        </row>
        <row r="885">
          <cell r="B885" t="str">
            <v>Советская Гавань</v>
          </cell>
        </row>
        <row r="886">
          <cell r="B886" t="str">
            <v>Советский</v>
          </cell>
        </row>
        <row r="887">
          <cell r="B887" t="str">
            <v>Сокол</v>
          </cell>
        </row>
        <row r="888">
          <cell r="B888" t="str">
            <v>Солигалич</v>
          </cell>
        </row>
        <row r="889">
          <cell r="B889" t="str">
            <v>Соликамск</v>
          </cell>
        </row>
        <row r="890">
          <cell r="B890" t="str">
            <v>Солнечногорск</v>
          </cell>
        </row>
        <row r="891">
          <cell r="B891" t="str">
            <v>Соль-Илецк</v>
          </cell>
        </row>
        <row r="892">
          <cell r="B892" t="str">
            <v>Сольвычегодск</v>
          </cell>
        </row>
        <row r="893">
          <cell r="B893" t="str">
            <v>Сольцы</v>
          </cell>
        </row>
        <row r="894">
          <cell r="B894" t="str">
            <v>Сорочинск</v>
          </cell>
        </row>
        <row r="895">
          <cell r="B895" t="str">
            <v>Сорск</v>
          </cell>
        </row>
        <row r="896">
          <cell r="B896" t="str">
            <v>Сортавала</v>
          </cell>
        </row>
        <row r="897">
          <cell r="B897" t="str">
            <v>Сосенский</v>
          </cell>
        </row>
        <row r="898">
          <cell r="B898" t="str">
            <v>Сосновка</v>
          </cell>
        </row>
        <row r="899">
          <cell r="B899" t="str">
            <v>Сосновоборск</v>
          </cell>
        </row>
        <row r="900">
          <cell r="B900" t="str">
            <v>Сосновый Бор</v>
          </cell>
        </row>
        <row r="901">
          <cell r="B901" t="str">
            <v>Сосногорск</v>
          </cell>
        </row>
        <row r="902">
          <cell r="B902" t="str">
            <v>Сочи</v>
          </cell>
        </row>
        <row r="903">
          <cell r="B903" t="str">
            <v>Спас-Деменск</v>
          </cell>
        </row>
        <row r="904">
          <cell r="B904" t="str">
            <v>Спас-Клепики</v>
          </cell>
        </row>
        <row r="905">
          <cell r="B905" t="str">
            <v>Спасск</v>
          </cell>
        </row>
        <row r="906">
          <cell r="B906" t="str">
            <v>Спасск-Дальний</v>
          </cell>
        </row>
        <row r="907">
          <cell r="B907" t="str">
            <v>Спасск-Рязанский</v>
          </cell>
        </row>
        <row r="908">
          <cell r="B908" t="str">
            <v>Среднеколымск</v>
          </cell>
        </row>
        <row r="909">
          <cell r="B909" t="str">
            <v>Среднеуральск</v>
          </cell>
        </row>
        <row r="910">
          <cell r="B910" t="str">
            <v>Сретенск</v>
          </cell>
        </row>
        <row r="911">
          <cell r="B911" t="str">
            <v>Ставрополь</v>
          </cell>
        </row>
        <row r="912">
          <cell r="B912" t="str">
            <v>Старая Купавна</v>
          </cell>
        </row>
        <row r="913">
          <cell r="B913" t="str">
            <v>Старая Русса</v>
          </cell>
        </row>
        <row r="914">
          <cell r="B914" t="str">
            <v>Старица</v>
          </cell>
        </row>
        <row r="915">
          <cell r="B915" t="str">
            <v>Стародуб</v>
          </cell>
        </row>
        <row r="916">
          <cell r="B916" t="str">
            <v>Старый Крым</v>
          </cell>
        </row>
        <row r="917">
          <cell r="B917" t="str">
            <v>Старый Оскол</v>
          </cell>
        </row>
        <row r="918">
          <cell r="B918" t="str">
            <v>Стерлитамак</v>
          </cell>
        </row>
        <row r="919">
          <cell r="B919" t="str">
            <v>Стрежевой</v>
          </cell>
        </row>
        <row r="920">
          <cell r="B920" t="str">
            <v>Строитель</v>
          </cell>
        </row>
        <row r="921">
          <cell r="B921" t="str">
            <v>Струнино</v>
          </cell>
        </row>
        <row r="922">
          <cell r="B922" t="str">
            <v>Ступино</v>
          </cell>
        </row>
        <row r="923">
          <cell r="B923" t="str">
            <v>Суворов</v>
          </cell>
        </row>
        <row r="924">
          <cell r="B924" t="str">
            <v>Судак</v>
          </cell>
        </row>
        <row r="925">
          <cell r="B925" t="str">
            <v>Суджа</v>
          </cell>
        </row>
        <row r="926">
          <cell r="B926" t="str">
            <v>Судогда</v>
          </cell>
        </row>
        <row r="927">
          <cell r="B927" t="str">
            <v>Суздаль</v>
          </cell>
        </row>
        <row r="928">
          <cell r="B928" t="str">
            <v>Сунжа</v>
          </cell>
        </row>
        <row r="929">
          <cell r="B929" t="str">
            <v>Суоярви</v>
          </cell>
        </row>
        <row r="930">
          <cell r="B930" t="str">
            <v>Сураж</v>
          </cell>
        </row>
        <row r="931">
          <cell r="B931" t="str">
            <v>Сургут</v>
          </cell>
        </row>
        <row r="932">
          <cell r="B932" t="str">
            <v>Суровикино</v>
          </cell>
        </row>
        <row r="933">
          <cell r="B933" t="str">
            <v>Сурск</v>
          </cell>
        </row>
        <row r="934">
          <cell r="B934" t="str">
            <v>Сусуман</v>
          </cell>
        </row>
        <row r="935">
          <cell r="B935" t="str">
            <v>Сухиничи</v>
          </cell>
        </row>
        <row r="936">
          <cell r="B936" t="str">
            <v>Сухой Лог</v>
          </cell>
        </row>
        <row r="937">
          <cell r="B937" t="str">
            <v>Сызрань</v>
          </cell>
        </row>
        <row r="938">
          <cell r="B938" t="str">
            <v>Сыктывкар</v>
          </cell>
        </row>
        <row r="939">
          <cell r="B939" t="str">
            <v>Сысерть</v>
          </cell>
        </row>
        <row r="940">
          <cell r="B940" t="str">
            <v>Сычёвка</v>
          </cell>
        </row>
        <row r="941">
          <cell r="B941" t="str">
            <v>Сясьстрой</v>
          </cell>
        </row>
        <row r="942">
          <cell r="B942" t="str">
            <v>Тавда</v>
          </cell>
        </row>
        <row r="943">
          <cell r="B943" t="str">
            <v>Таганрог</v>
          </cell>
        </row>
        <row r="944">
          <cell r="B944" t="str">
            <v>Тайга</v>
          </cell>
        </row>
        <row r="945">
          <cell r="B945" t="str">
            <v>Тайшет</v>
          </cell>
        </row>
        <row r="946">
          <cell r="B946" t="str">
            <v>Талдом</v>
          </cell>
        </row>
        <row r="947">
          <cell r="B947" t="str">
            <v>Талица</v>
          </cell>
        </row>
        <row r="948">
          <cell r="B948" t="str">
            <v>Тамбов</v>
          </cell>
        </row>
        <row r="949">
          <cell r="B949" t="str">
            <v>Тара</v>
          </cell>
        </row>
        <row r="950">
          <cell r="B950" t="str">
            <v>Тарко-Сале</v>
          </cell>
        </row>
        <row r="951">
          <cell r="B951" t="str">
            <v>Таруса</v>
          </cell>
        </row>
        <row r="952">
          <cell r="B952" t="str">
            <v>Татарск</v>
          </cell>
        </row>
        <row r="953">
          <cell r="B953" t="str">
            <v>Таштагол</v>
          </cell>
        </row>
        <row r="954">
          <cell r="B954" t="str">
            <v>Тверь</v>
          </cell>
        </row>
        <row r="955">
          <cell r="B955" t="str">
            <v>Теберда</v>
          </cell>
        </row>
        <row r="956">
          <cell r="B956" t="str">
            <v>Тейково</v>
          </cell>
        </row>
        <row r="957">
          <cell r="B957" t="str">
            <v>Темников</v>
          </cell>
        </row>
        <row r="958">
          <cell r="B958" t="str">
            <v>Темрюк</v>
          </cell>
        </row>
        <row r="959">
          <cell r="B959" t="str">
            <v>Терек</v>
          </cell>
        </row>
        <row r="960">
          <cell r="B960" t="str">
            <v>Тетюши</v>
          </cell>
        </row>
        <row r="961">
          <cell r="B961" t="str">
            <v>Тимашёвск</v>
          </cell>
        </row>
        <row r="962">
          <cell r="B962" t="str">
            <v>Тихвин</v>
          </cell>
        </row>
        <row r="963">
          <cell r="B963" t="str">
            <v>Тихорецк</v>
          </cell>
        </row>
        <row r="964">
          <cell r="B964" t="str">
            <v>Тобольск</v>
          </cell>
        </row>
        <row r="965">
          <cell r="B965" t="str">
            <v>Тогучин</v>
          </cell>
        </row>
        <row r="966">
          <cell r="B966" t="str">
            <v>Тольятти</v>
          </cell>
        </row>
        <row r="967">
          <cell r="B967" t="str">
            <v>Томари</v>
          </cell>
        </row>
        <row r="968">
          <cell r="B968" t="str">
            <v>Томмот</v>
          </cell>
        </row>
        <row r="969">
          <cell r="B969" t="str">
            <v>Томск</v>
          </cell>
        </row>
        <row r="970">
          <cell r="B970" t="str">
            <v>Топки</v>
          </cell>
        </row>
        <row r="971">
          <cell r="B971" t="str">
            <v>Торжок</v>
          </cell>
        </row>
        <row r="972">
          <cell r="B972" t="str">
            <v>Торопец</v>
          </cell>
        </row>
        <row r="973">
          <cell r="B973" t="str">
            <v>Тосно</v>
          </cell>
        </row>
        <row r="974">
          <cell r="B974" t="str">
            <v>Тотьма</v>
          </cell>
        </row>
        <row r="975">
          <cell r="B975" t="str">
            <v>Трёхгорный</v>
          </cell>
        </row>
        <row r="976">
          <cell r="B976" t="str">
            <v>Троицк</v>
          </cell>
        </row>
        <row r="977">
          <cell r="B977" t="str">
            <v>Трубчевск</v>
          </cell>
        </row>
        <row r="978">
          <cell r="B978" t="str">
            <v>Туапсе</v>
          </cell>
        </row>
        <row r="979">
          <cell r="B979" t="str">
            <v>Туймазы</v>
          </cell>
        </row>
        <row r="980">
          <cell r="B980" t="str">
            <v>Тула</v>
          </cell>
        </row>
        <row r="981">
          <cell r="B981" t="str">
            <v>Тулун</v>
          </cell>
        </row>
        <row r="982">
          <cell r="B982" t="str">
            <v>Туран</v>
          </cell>
        </row>
        <row r="983">
          <cell r="B983" t="str">
            <v>Туринск</v>
          </cell>
        </row>
        <row r="984">
          <cell r="B984" t="str">
            <v>Тутаев</v>
          </cell>
        </row>
        <row r="985">
          <cell r="B985" t="str">
            <v>Тында</v>
          </cell>
        </row>
        <row r="986">
          <cell r="B986" t="str">
            <v>Тырныауз</v>
          </cell>
        </row>
        <row r="987">
          <cell r="B987" t="str">
            <v>Тюкалинск</v>
          </cell>
        </row>
        <row r="988">
          <cell r="B988" t="str">
            <v>Тюмень</v>
          </cell>
        </row>
        <row r="989">
          <cell r="B989" t="str">
            <v>Уварово</v>
          </cell>
        </row>
        <row r="990">
          <cell r="B990" t="str">
            <v>Углегорск</v>
          </cell>
        </row>
        <row r="991">
          <cell r="B991" t="str">
            <v>Углич</v>
          </cell>
        </row>
        <row r="992">
          <cell r="B992" t="str">
            <v>Удачный</v>
          </cell>
        </row>
        <row r="993">
          <cell r="B993" t="str">
            <v>Удомля</v>
          </cell>
        </row>
        <row r="994">
          <cell r="B994" t="str">
            <v>Ужур</v>
          </cell>
        </row>
        <row r="995">
          <cell r="B995" t="str">
            <v>Узловая</v>
          </cell>
        </row>
        <row r="996">
          <cell r="B996" t="str">
            <v>Улан-Удэ</v>
          </cell>
        </row>
        <row r="997">
          <cell r="B997" t="str">
            <v>Ульяновск</v>
          </cell>
        </row>
        <row r="998">
          <cell r="B998" t="str">
            <v>Унеча</v>
          </cell>
        </row>
        <row r="999">
          <cell r="B999" t="str">
            <v>Урай</v>
          </cell>
        </row>
        <row r="1000">
          <cell r="B1000" t="str">
            <v>Урень</v>
          </cell>
        </row>
        <row r="1001">
          <cell r="B1001" t="str">
            <v>Уржум</v>
          </cell>
        </row>
        <row r="1002">
          <cell r="B1002" t="str">
            <v>Урус-Мартан</v>
          </cell>
        </row>
        <row r="1003">
          <cell r="B1003" t="str">
            <v>Урюпинск</v>
          </cell>
        </row>
        <row r="1004">
          <cell r="B1004" t="str">
            <v>Усинск</v>
          </cell>
        </row>
        <row r="1005">
          <cell r="B1005" t="str">
            <v>Усмань</v>
          </cell>
        </row>
        <row r="1006">
          <cell r="B1006" t="str">
            <v>Усолье-Сибирское</v>
          </cell>
        </row>
        <row r="1007">
          <cell r="B1007" t="str">
            <v>Усолье</v>
          </cell>
        </row>
        <row r="1008">
          <cell r="B1008" t="str">
            <v>Уссурийск</v>
          </cell>
        </row>
        <row r="1009">
          <cell r="B1009" t="str">
            <v>Усть-Джегута</v>
          </cell>
        </row>
        <row r="1010">
          <cell r="B1010" t="str">
            <v>Усть-Илимск</v>
          </cell>
        </row>
        <row r="1011">
          <cell r="B1011" t="str">
            <v>Усть-Катав</v>
          </cell>
        </row>
        <row r="1012">
          <cell r="B1012" t="str">
            <v>Усть-Кут</v>
          </cell>
        </row>
        <row r="1013">
          <cell r="B1013" t="str">
            <v>Усть-Лабинск</v>
          </cell>
        </row>
        <row r="1014">
          <cell r="B1014" t="str">
            <v>Устюжна</v>
          </cell>
        </row>
        <row r="1015">
          <cell r="B1015" t="str">
            <v>Уфа</v>
          </cell>
        </row>
        <row r="1016">
          <cell r="B1016" t="str">
            <v>Ухта</v>
          </cell>
        </row>
        <row r="1017">
          <cell r="B1017" t="str">
            <v>Учалы</v>
          </cell>
        </row>
        <row r="1018">
          <cell r="B1018" t="str">
            <v>Уяр</v>
          </cell>
        </row>
        <row r="1019">
          <cell r="B1019" t="str">
            <v>Фатеж</v>
          </cell>
        </row>
        <row r="1020">
          <cell r="B1020" t="str">
            <v>Феодосия</v>
          </cell>
        </row>
        <row r="1021">
          <cell r="B1021" t="str">
            <v>Фокино</v>
          </cell>
        </row>
        <row r="1022">
          <cell r="B1022" t="str">
            <v>Фокино</v>
          </cell>
        </row>
        <row r="1023">
          <cell r="B1023" t="str">
            <v>Фролово</v>
          </cell>
        </row>
        <row r="1024">
          <cell r="B1024" t="str">
            <v>Фрязино</v>
          </cell>
        </row>
        <row r="1025">
          <cell r="B1025" t="str">
            <v>Фурманов</v>
          </cell>
        </row>
        <row r="1026">
          <cell r="B1026" t="str">
            <v>Хабаровск</v>
          </cell>
        </row>
        <row r="1027">
          <cell r="B1027" t="str">
            <v>Хадыженск</v>
          </cell>
        </row>
        <row r="1028">
          <cell r="B1028" t="str">
            <v>Ханты-Мансийск</v>
          </cell>
        </row>
        <row r="1029">
          <cell r="B1029" t="str">
            <v>Харабали</v>
          </cell>
        </row>
        <row r="1030">
          <cell r="B1030" t="str">
            <v>Харовск</v>
          </cell>
        </row>
        <row r="1031">
          <cell r="B1031" t="str">
            <v>Хасавюрт</v>
          </cell>
        </row>
        <row r="1032">
          <cell r="B1032" t="str">
            <v>Хвалынск</v>
          </cell>
        </row>
        <row r="1033">
          <cell r="B1033" t="str">
            <v>Хилок</v>
          </cell>
        </row>
        <row r="1034">
          <cell r="B1034" t="str">
            <v>Химки</v>
          </cell>
        </row>
        <row r="1035">
          <cell r="B1035" t="str">
            <v>Холм</v>
          </cell>
        </row>
        <row r="1036">
          <cell r="B1036" t="str">
            <v>Холмск</v>
          </cell>
        </row>
        <row r="1037">
          <cell r="B1037" t="str">
            <v>Хотьково</v>
          </cell>
        </row>
        <row r="1038">
          <cell r="B1038" t="str">
            <v>Цивильск</v>
          </cell>
        </row>
        <row r="1039">
          <cell r="B1039" t="str">
            <v>Цимлянск</v>
          </cell>
        </row>
        <row r="1040">
          <cell r="B1040" t="str">
            <v>Циолковский</v>
          </cell>
        </row>
        <row r="1041">
          <cell r="B1041" t="str">
            <v>Чадан</v>
          </cell>
        </row>
        <row r="1042">
          <cell r="B1042" t="str">
            <v>Чайковский</v>
          </cell>
        </row>
        <row r="1043">
          <cell r="B1043" t="str">
            <v>Чапаевск</v>
          </cell>
        </row>
        <row r="1044">
          <cell r="B1044" t="str">
            <v>Чаплыгин</v>
          </cell>
        </row>
        <row r="1045">
          <cell r="B1045" t="str">
            <v>Чебаркуль</v>
          </cell>
        </row>
        <row r="1046">
          <cell r="B1046" t="str">
            <v>Чебоксары</v>
          </cell>
        </row>
        <row r="1047">
          <cell r="B1047" t="str">
            <v>Чегем</v>
          </cell>
        </row>
        <row r="1048">
          <cell r="B1048" t="str">
            <v>Чекалин</v>
          </cell>
        </row>
        <row r="1049">
          <cell r="B1049" t="str">
            <v>Челябинск</v>
          </cell>
        </row>
        <row r="1050">
          <cell r="B1050" t="str">
            <v>Чердынь</v>
          </cell>
        </row>
        <row r="1051">
          <cell r="B1051" t="str">
            <v>Черемхово</v>
          </cell>
        </row>
        <row r="1052">
          <cell r="B1052" t="str">
            <v>Черепаново</v>
          </cell>
        </row>
        <row r="1053">
          <cell r="B1053" t="str">
            <v>Череповец</v>
          </cell>
        </row>
        <row r="1054">
          <cell r="B1054" t="str">
            <v>Черкесск</v>
          </cell>
        </row>
        <row r="1055">
          <cell r="B1055" t="str">
            <v>Чёрмоз</v>
          </cell>
        </row>
        <row r="1056">
          <cell r="B1056" t="str">
            <v>Черноголовка</v>
          </cell>
        </row>
        <row r="1057">
          <cell r="B1057" t="str">
            <v>Черногорск</v>
          </cell>
        </row>
        <row r="1058">
          <cell r="B1058" t="str">
            <v>Чернушка</v>
          </cell>
        </row>
        <row r="1059">
          <cell r="B1059" t="str">
            <v>Черняховск</v>
          </cell>
        </row>
        <row r="1060">
          <cell r="B1060" t="str">
            <v>Чехов</v>
          </cell>
        </row>
        <row r="1061">
          <cell r="B1061" t="str">
            <v>Чистополь</v>
          </cell>
        </row>
        <row r="1062">
          <cell r="B1062" t="str">
            <v>Чита</v>
          </cell>
        </row>
        <row r="1063">
          <cell r="B1063" t="str">
            <v>Чкаловск</v>
          </cell>
        </row>
        <row r="1064">
          <cell r="B1064" t="str">
            <v>Чудово</v>
          </cell>
        </row>
        <row r="1065">
          <cell r="B1065" t="str">
            <v>Чулым</v>
          </cell>
        </row>
        <row r="1066">
          <cell r="B1066" t="str">
            <v>Чусовой</v>
          </cell>
        </row>
        <row r="1067">
          <cell r="B1067" t="str">
            <v>Чухлома</v>
          </cell>
        </row>
        <row r="1068">
          <cell r="B1068" t="str">
            <v>Шагонар</v>
          </cell>
        </row>
        <row r="1069">
          <cell r="B1069" t="str">
            <v>Шадринск</v>
          </cell>
        </row>
        <row r="1070">
          <cell r="B1070" t="str">
            <v>Шали</v>
          </cell>
        </row>
        <row r="1071">
          <cell r="B1071" t="str">
            <v>Шарыпово</v>
          </cell>
        </row>
        <row r="1072">
          <cell r="B1072" t="str">
            <v>Шарья</v>
          </cell>
        </row>
        <row r="1073">
          <cell r="B1073" t="str">
            <v>Шатура</v>
          </cell>
        </row>
        <row r="1074">
          <cell r="B1074" t="str">
            <v>Шахты</v>
          </cell>
        </row>
        <row r="1075">
          <cell r="B1075" t="str">
            <v>Шахунья</v>
          </cell>
        </row>
        <row r="1076">
          <cell r="B1076" t="str">
            <v>Шацк</v>
          </cell>
        </row>
        <row r="1077">
          <cell r="B1077" t="str">
            <v>Шебекино</v>
          </cell>
        </row>
        <row r="1078">
          <cell r="B1078" t="str">
            <v>Шелехов</v>
          </cell>
        </row>
        <row r="1079">
          <cell r="B1079" t="str">
            <v>Шенкурск</v>
          </cell>
        </row>
        <row r="1080">
          <cell r="B1080" t="str">
            <v>Шилка</v>
          </cell>
        </row>
        <row r="1081">
          <cell r="B1081" t="str">
            <v>Шимановск</v>
          </cell>
        </row>
        <row r="1082">
          <cell r="B1082" t="str">
            <v>Шиханы</v>
          </cell>
        </row>
        <row r="1083">
          <cell r="B1083" t="str">
            <v>Шлиссельбург</v>
          </cell>
        </row>
        <row r="1084">
          <cell r="B1084" t="str">
            <v>Шумерля</v>
          </cell>
        </row>
        <row r="1085">
          <cell r="B1085" t="str">
            <v>Шумиха</v>
          </cell>
        </row>
        <row r="1086">
          <cell r="B1086" t="str">
            <v>Шуя</v>
          </cell>
        </row>
        <row r="1087">
          <cell r="B1087" t="str">
            <v>Щёкино</v>
          </cell>
        </row>
        <row r="1088">
          <cell r="B1088" t="str">
            <v>Щёлкино</v>
          </cell>
        </row>
        <row r="1089">
          <cell r="B1089" t="str">
            <v>Щёлково</v>
          </cell>
        </row>
        <row r="1090">
          <cell r="B1090" t="str">
            <v>Щигры</v>
          </cell>
        </row>
        <row r="1091">
          <cell r="B1091" t="str">
            <v>Щучье</v>
          </cell>
        </row>
        <row r="1092">
          <cell r="B1092" t="str">
            <v>Электрогорск</v>
          </cell>
        </row>
        <row r="1093">
          <cell r="B1093" t="str">
            <v>Электросталь</v>
          </cell>
        </row>
        <row r="1094">
          <cell r="B1094" t="str">
            <v>Электроугли</v>
          </cell>
        </row>
        <row r="1095">
          <cell r="B1095" t="str">
            <v>Элиста</v>
          </cell>
        </row>
        <row r="1096">
          <cell r="B1096" t="str">
            <v>Энгельс</v>
          </cell>
        </row>
        <row r="1097">
          <cell r="B1097" t="str">
            <v>Эртиль</v>
          </cell>
        </row>
        <row r="1098">
          <cell r="B1098" t="str">
            <v>Югорск</v>
          </cell>
        </row>
        <row r="1099">
          <cell r="B1099" t="str">
            <v>Южа</v>
          </cell>
        </row>
        <row r="1100">
          <cell r="B1100" t="str">
            <v>Южно-Сахалинск</v>
          </cell>
        </row>
        <row r="1101">
          <cell r="B1101" t="str">
            <v>Южно-Сухокумск</v>
          </cell>
        </row>
        <row r="1102">
          <cell r="B1102" t="str">
            <v>Южноуральск</v>
          </cell>
        </row>
        <row r="1103">
          <cell r="B1103" t="str">
            <v>Юрга</v>
          </cell>
        </row>
        <row r="1104">
          <cell r="B1104" t="str">
            <v>Юрьев-Польский</v>
          </cell>
        </row>
        <row r="1105">
          <cell r="B1105" t="str">
            <v>Юрьевец</v>
          </cell>
        </row>
        <row r="1106">
          <cell r="B1106" t="str">
            <v>Юрюзань</v>
          </cell>
        </row>
        <row r="1107">
          <cell r="B1107" t="str">
            <v>Юхнов</v>
          </cell>
        </row>
        <row r="1108">
          <cell r="B1108" t="str">
            <v>Ядрин</v>
          </cell>
        </row>
        <row r="1109">
          <cell r="B1109" t="str">
            <v>Якутск</v>
          </cell>
        </row>
        <row r="1110">
          <cell r="B1110" t="str">
            <v>Ялта</v>
          </cell>
        </row>
        <row r="1111">
          <cell r="B1111" t="str">
            <v>Ялуторовск</v>
          </cell>
        </row>
        <row r="1112">
          <cell r="B1112" t="str">
            <v>Янаул</v>
          </cell>
        </row>
        <row r="1113">
          <cell r="B1113" t="str">
            <v>Яранск</v>
          </cell>
        </row>
        <row r="1114">
          <cell r="B1114" t="str">
            <v>Яровое</v>
          </cell>
        </row>
        <row r="1115">
          <cell r="B1115" t="str">
            <v>Ярославль</v>
          </cell>
        </row>
        <row r="1116">
          <cell r="B1116" t="str">
            <v>Ярцево</v>
          </cell>
        </row>
        <row r="1117">
          <cell r="B1117" t="str">
            <v>Ясногорск</v>
          </cell>
        </row>
        <row r="1118">
          <cell r="B1118" t="str">
            <v>Ясный</v>
          </cell>
        </row>
        <row r="1119">
          <cell r="B1119" t="str">
            <v>Яхрома</v>
          </cell>
        </row>
      </sheetData>
      <sheetData sheetId="8" refreshError="1"/>
      <sheetData sheetId="9" refreshError="1"/>
      <sheetData sheetId="10" refreshError="1"/>
      <sheetData sheetId="11">
        <row r="2">
          <cell r="A2" t="str">
            <v>Вирусологическая неэффективность АРВТ</v>
          </cell>
          <cell r="B2" t="str">
            <v>плазма</v>
          </cell>
          <cell r="C2" t="str">
            <v>мужской</v>
          </cell>
          <cell r="D2" t="str">
            <v>гетеросексуальный</v>
          </cell>
          <cell r="E2" t="str">
            <v>не было</v>
          </cell>
          <cell r="F2" t="str">
            <v>нет</v>
          </cell>
          <cell r="G2" t="str">
            <v>да</v>
          </cell>
          <cell r="H2">
            <v>1</v>
          </cell>
          <cell r="I2" t="str">
            <v>высокая</v>
          </cell>
        </row>
        <row r="3">
          <cell r="A3" t="str">
            <v>Исследование первичной резистентности ВИЧ</v>
          </cell>
          <cell r="B3" t="str">
            <v>цельная кровь</v>
          </cell>
          <cell r="C3" t="str">
            <v>женский</v>
          </cell>
          <cell r="D3" t="str">
            <v>гомосексуальный</v>
          </cell>
          <cell r="E3" t="str">
            <v>было в прошлом</v>
          </cell>
          <cell r="F3" t="str">
            <v>ВИЧ+</v>
          </cell>
          <cell r="G3" t="str">
            <v>нет</v>
          </cell>
          <cell r="H3" t="str">
            <v>2А</v>
          </cell>
          <cell r="I3" t="str">
            <v>средняя</v>
          </cell>
        </row>
        <row r="4">
          <cell r="B4" t="str">
            <v>ликвор</v>
          </cell>
          <cell r="D4" t="str">
            <v>половой</v>
          </cell>
          <cell r="E4" t="str">
            <v>сейчас</v>
          </cell>
          <cell r="F4" t="str">
            <v>ВИЧ-</v>
          </cell>
          <cell r="H4" t="str">
            <v>2Б</v>
          </cell>
          <cell r="I4" t="str">
            <v>низкая</v>
          </cell>
        </row>
        <row r="5">
          <cell r="D5" t="str">
            <v>ПИН</v>
          </cell>
          <cell r="F5" t="str">
            <v>статус неизвестен</v>
          </cell>
          <cell r="H5" t="str">
            <v>2В</v>
          </cell>
        </row>
        <row r="6">
          <cell r="D6" t="str">
            <v>нозокомиальный</v>
          </cell>
          <cell r="H6">
            <v>3</v>
          </cell>
        </row>
        <row r="7">
          <cell r="D7" t="str">
            <v>вертикальный</v>
          </cell>
          <cell r="H7" t="str">
            <v>4А</v>
          </cell>
        </row>
        <row r="8">
          <cell r="D8" t="str">
            <v>обратно вертикальный</v>
          </cell>
          <cell r="H8" t="str">
            <v>4Б</v>
          </cell>
        </row>
        <row r="9">
          <cell r="D9" t="str">
            <v>другое</v>
          </cell>
          <cell r="H9" t="str">
            <v>4В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RVP" displayName="ARVP" ref="A1:Q106" totalsRowShown="0" headerRowCellStyle="Обычный 2" dataCellStyle="Обычный 2">
  <tableColumns count="17">
    <tableColumn id="11" xr3:uid="{00000000-0010-0000-0000-00000B000000}" name="ID" dataDxfId="29" dataCellStyle="Обычный 2"/>
    <tableColumn id="1" xr3:uid="{00000000-0010-0000-0000-000001000000}" name="ТН" dataDxfId="28" dataCellStyle="Обычный 2"/>
    <tableColumn id="10" xr3:uid="{00000000-0010-0000-0000-00000A000000}" name="ТН=МНН" dataDxfId="27" dataCellStyle="Обычный 2">
      <calculatedColumnFormula>ARVP[[#This Row],[ТН]]=ARVP[[#This Row],[МНН1]]</calculatedColumnFormula>
    </tableColumn>
    <tableColumn id="2" xr3:uid="{00000000-0010-0000-0000-000002000000}" name="МНН1" dataDxfId="26" dataCellStyle="Обычный 2"/>
    <tableColumn id="3" xr3:uid="{00000000-0010-0000-0000-000003000000}" name="МНН2" dataCellStyle="Обычный 2"/>
    <tableColumn id="4" xr3:uid="{00000000-0010-0000-0000-000004000000}" name="МНН3" dataCellStyle="Обычный 2"/>
    <tableColumn id="5" xr3:uid="{00000000-0010-0000-0000-000005000000}" name="Код1" dataCellStyle="Обычный 2"/>
    <tableColumn id="6" xr3:uid="{00000000-0010-0000-0000-000006000000}" name="Код2" dataCellStyle="Обычный 2"/>
    <tableColumn id="7" xr3:uid="{00000000-0010-0000-0000-000007000000}" name="Код3" dataCellStyle="Обычный 2"/>
    <tableColumn id="14" xr3:uid="{00000000-0010-0000-0000-00000E000000}" name="Класс" dataCellStyle="Обычный 2"/>
    <tableColumn id="8" xr3:uid="{00000000-0010-0000-0000-000008000000}" name="Код" dataCellStyle="Обычный 2"/>
    <tableColumn id="13" xr3:uid="{00000000-0010-0000-0000-00000D000000}" name="МНН" dataDxfId="25" dataCellStyle="Обычный 2">
      <calculatedColumnFormula>ARVP[[#This Row],[МНН1]]</calculatedColumnFormula>
    </tableColumn>
    <tableColumn id="12" xr3:uid="{00000000-0010-0000-0000-00000C000000}" name="МНН (код)" dataDxfId="24" dataCellStyle="Обычный 2">
      <calculatedColumnFormula>ARVP[[#This Row],[МНН1]]&amp;" ("&amp;ARVP[[#This Row],[Код1]]&amp;")+"&amp;ARVP[[#This Row],[МНН2]]&amp;"("&amp;ARVP[[#This Row],[Код2]]&amp;")+"&amp;ARVP[[#This Row],[МНН3]]&amp;"("&amp;ARVP[[#This Row],[Код3]]&amp;")"</calculatedColumnFormula>
    </tableColumn>
    <tableColumn id="15" xr3:uid="{00000000-0010-0000-0000-00000F000000}" name="ТН [МНН (код)]" dataDxfId="23" dataCellStyle="Обычный 2">
      <calculatedColumnFormula>ARVP[[#This Row],[ТН]]&amp;" ["&amp;ARVP[[#This Row],[МНН (код)]]&amp;"]"</calculatedColumnFormula>
    </tableColumn>
    <tableColumn id="16" xr3:uid="{00000000-0010-0000-0000-000010000000}" name="ТН (коды)" dataDxfId="22" dataCellStyle="Обычный 2"/>
    <tableColumn id="9" xr3:uid="{00000000-0010-0000-0000-000009000000}" name="ТН (коды, класс)" dataDxfId="21" dataCellStyle="Обычный 2">
      <calculatedColumnFormula>ARVP[[#This Row],[ТН]]&amp;" ["&amp;ARVP[[#This Row],[МНН (код)]]&amp;"]"</calculatedColumnFormula>
    </tableColumn>
    <tableColumn id="17" xr3:uid="{39E84D18-E19D-4CFA-972F-6C0863701076}" name="ФСИН" dataDxfId="20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cheme" displayName="Scheme" ref="T1:AF11" totalsRowShown="0" headerRowCellStyle="Обычный 2" dataCellStyle="Обычный 2">
  <autoFilter ref="T1:AF11" xr:uid="{00000000-0009-0000-0100-000002000000}"/>
  <tableColumns count="13">
    <tableColumn id="1" xr3:uid="{00000000-0010-0000-0100-000001000000}" name="Name" dataCellStyle="Обычный 2"/>
    <tableColumn id="6" xr3:uid="{00000000-0010-0000-0100-000006000000}" name="P1" dataCellStyle="Обычный 2"/>
    <tableColumn id="5" xr3:uid="{00000000-0010-0000-0100-000005000000}" name="P2" dataCellStyle="Обычный 2"/>
    <tableColumn id="4" xr3:uid="{00000000-0010-0000-0100-000004000000}" name="P3" dataCellStyle="Обычный 2"/>
    <tableColumn id="3" xr3:uid="{00000000-0010-0000-0100-000003000000}" name="P4" dataCellStyle="Обычный 2"/>
    <tableColumn id="7" xr3:uid="{00000000-0010-0000-0100-000007000000}" name="СТ" dataCellStyle="Обычный 2"/>
    <tableColumn id="11" xr3:uid="{00000000-0010-0000-0100-00000B000000}" name="СТ1" dataCellStyle="Обычный 2"/>
    <tableColumn id="8" xr3:uid="{00000000-0010-0000-0100-000008000000}" name="Text+" dataDxfId="19" dataCellStyle="Обычный 2">
      <calculatedColumnFormula>IF(Scheme[[#This Row],[P1]]&gt;0,VLOOKUP(Scheme[[#This Row],[P1]],ARVP[],Scheme[[#This Row],[СТ]],0)&amp;"+","")&amp;IF(Scheme[[#This Row],[P2]]&gt;0,VLOOKUP(Scheme[[#This Row],[P2]],ARVP[],Scheme[[#This Row],[СТ]],0)&amp;"+","")&amp;IF(Scheme[[#This Row],[P3]]&gt;0,VLOOKUP(Scheme[[#This Row],[P3]],ARVP[],Scheme[[#This Row],[СТ]],0)&amp;"+","")&amp;IF(Scheme[[#This Row],[P4]]&gt;0,VLOOKUP(Scheme[[#This Row],[P4]],ARVP[],Scheme[[#This Row],[СТ]],0)&amp;"+","")</calculatedColumnFormula>
    </tableColumn>
    <tableColumn id="10" xr3:uid="{00000000-0010-0000-0100-00000A000000}" name="Class+" dataDxfId="18" dataCellStyle="Обычный 2">
      <calculatedColumnFormula>IF(Scheme[[#This Row],[P1]]&gt;0,VLOOKUP(Scheme[[#This Row],[P1]],ARVP[],Scheme[[#This Row],[СТ1]],0)&amp;"+","")&amp;IF(Scheme[[#This Row],[P2]]&gt;0,VLOOKUP(Scheme[[#This Row],[P2]],ARVP[],Scheme[[#This Row],[СТ1]],0)&amp;"+","")&amp;IF(Scheme[[#This Row],[P3]]&gt;0,VLOOKUP(Scheme[[#This Row],[P3]],ARVP[],Scheme[[#This Row],[СТ1]],0)&amp;"+","")&amp;IF(Scheme[[#This Row],[P4]]&gt;0,VLOOKUP(Scheme[[#This Row],[P4]],ARVP[],Scheme[[#This Row],[СТ1]],0)&amp;"+","")</calculatedColumnFormula>
    </tableColumn>
    <tableColumn id="2" xr3:uid="{00000000-0010-0000-0100-000002000000}" name="Text" dataDxfId="17" dataCellStyle="Обычный 2">
      <calculatedColumnFormula>IFERROR(LEFT(Scheme[[#This Row],[Text+]],LEN(Scheme[[#This Row],[Text+]])-3)&amp;CHAR(10)&amp;LEFT(Scheme[[#This Row],[Class+]],LEN(Scheme[[#This Row],[Class+]])-3),"")</calculatedColumnFormula>
    </tableColumn>
    <tableColumn id="13" xr3:uid="{00000000-0010-0000-0100-00000D000000}" name="СТВ" dataDxfId="16" dataCellStyle="Обычный 2"/>
    <tableColumn id="12" xr3:uid="{00000000-0010-0000-0100-00000C000000}" name="TextV+" dataDxfId="15" dataCellStyle="Обычный 2">
      <calculatedColumnFormula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calculatedColumnFormula>
    </tableColumn>
    <tableColumn id="9" xr3:uid="{00000000-0010-0000-0100-000009000000}" name="TextV" dataDxfId="14" dataCellStyle="Обычный 2">
      <calculatedColumnFormula>IFERROR(LEFT(Scheme[[#This Row],[TextV+]],LEN(Scheme[[#This Row],[TextV+]])-1),"")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OpButt" displayName="OpButt" ref="AI1:AJ4" totalsRowShown="0" headerRowCellStyle="Обычный 2" dataCellStyle="Обычный 2">
  <autoFilter ref="AI1:AJ4" xr:uid="{00000000-0009-0000-0100-000003000000}"/>
  <tableColumns count="2">
    <tableColumn id="1" xr3:uid="{00000000-0010-0000-0200-000001000000}" name="Name" dataCellStyle="Обычный 2"/>
    <tableColumn id="2" xr3:uid="{00000000-0010-0000-0200-000002000000}" name="Text" dataCellStyle="Обычный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cheme0" displayName="Scheme0" ref="AM1:AZ2" totalsRowShown="0" headerRowDxfId="13" headerRowBorderDxfId="12" tableBorderDxfId="11" headerRowCellStyle="Обычный 2" dataCellStyle="Обычный 2">
  <autoFilter ref="AM1:AZ2" xr:uid="{00000000-0009-0000-0100-000004000000}"/>
  <tableColumns count="14">
    <tableColumn id="1" xr3:uid="{00000000-0010-0000-0300-000001000000}" name="P1" dataCellStyle="Обычный 2"/>
    <tableColumn id="2" xr3:uid="{00000000-0010-0000-0300-000002000000}" name="P2" dataDxfId="10" dataCellStyle="Обычный 2"/>
    <tableColumn id="3" xr3:uid="{00000000-0010-0000-0300-000003000000}" name="P3" dataCellStyle="Обычный 2"/>
    <tableColumn id="4" xr3:uid="{00000000-0010-0000-0300-000004000000}" name="P4" dataCellStyle="Обычный 2"/>
    <tableColumn id="6" xr3:uid="{00000000-0010-0000-0300-000006000000}" name="СТ" dataDxfId="9" dataCellStyle="Обычный 2"/>
    <tableColumn id="9" xr3:uid="{00000000-0010-0000-0300-000009000000}" name="СТ1" dataDxfId="8" dataCellStyle="Обычный 2"/>
    <tableColumn id="5" xr3:uid="{00000000-0010-0000-0300-000005000000}" name="Text+" dataDxfId="7" dataCellStyle="Обычный 2"/>
    <tableColumn id="8" xr3:uid="{00000000-0010-0000-0300-000008000000}" name="Class+" dataDxfId="6" dataCellStyle="Обычный 2">
      <calculatedColumnFormula>IF(Scheme0[[#This Row],[P1]]&gt;1,VLOOKUP(Scheme0[[#This Row],[P1]],ARVP[],Scheme0[[#This Row],[СТ1]],0)&amp;" ; ","")&amp;IF(Scheme0[[#This Row],[P2]]&gt;1,VLOOKUP(Scheme0[[#This Row],[P2]],ARVP[],Scheme0[[#This Row],[СТ1]],0)&amp;" ; ","")&amp;IF(Scheme0[[#This Row],[P3]]&gt;1,VLOOKUP(Scheme0[[#This Row],[P3]],ARVP[],Scheme0[[#This Row],[СТ1]],0)&amp;" ; ","")&amp;IF(Scheme0[[#This Row],[P4]]&gt;1,VLOOKUP(Scheme0[[#This Row],[P4]],ARVP[],Scheme0[[#This Row],[СТ1]],0)&amp;" ; ","")</calculatedColumnFormula>
    </tableColumn>
    <tableColumn id="7" xr3:uid="{00000000-0010-0000-0300-000007000000}" name="Text" dataDxfId="5" dataCellStyle="Обычный 2">
      <calculatedColumnFormula>IFERROR(LEFT(Scheme0[[#This Row],[Text+]],LEN(Scheme0[[#This Row],[Text+]])-3)&amp;CHAR(10)&amp;LEFT(Scheme0[[#This Row],[Class+]],LEN(Scheme0[[#This Row],[Class+]])-3),"")</calculatedColumnFormula>
    </tableColumn>
    <tableColumn id="10" xr3:uid="{00000000-0010-0000-0300-00000A000000}" name="СТВ" dataDxfId="4" dataCellStyle="Обычный 2"/>
    <tableColumn id="11" xr3:uid="{00000000-0010-0000-0300-00000B000000}" name="TextV+" dataDxfId="3" dataCellStyle="Обычный 2">
      <calculatedColumnFormula>IF(Scheme0[[#This Row],[P1]]&gt;1,VLOOKUP(Scheme0[[#This Row],[P1]],ARVP[],Scheme0[[#This Row],[СТВ]],0)&amp;"|","")&amp;IF(Scheme0[[#This Row],[P2]]&gt;1,VLOOKUP(Scheme0[[#This Row],[P2]],ARVP[],Scheme0[[#This Row],[СТВ]],0)&amp;"|","")&amp;IF(Scheme0[[#This Row],[P3]]&gt;1,VLOOKUP(Scheme0[[#This Row],[P3]],ARVP[],Scheme0[[#This Row],[СТВ]],0)&amp;"|","")&amp;IF(Scheme0[[#This Row],[P4]]&gt;1,VLOOKUP(Scheme0[[#This Row],[P4]],ARVP[],Scheme0[[#This Row],[СТВ]],0)&amp;"|","")</calculatedColumnFormula>
    </tableColumn>
    <tableColumn id="12" xr3:uid="{00000000-0010-0000-0300-00000C000000}" name="TextV" dataDxfId="2" dataCellStyle="Обычный 2">
      <calculatedColumnFormula>IFERROR(LEFT(Scheme0[[#This Row],[TextV+]],LEN(Scheme0[[#This Row],[TextV+]])-1),"")</calculatedColumnFormula>
    </tableColumn>
    <tableColumn id="13" xr3:uid="{00000000-0010-0000-0300-00000D000000}" name="Shema" dataDxfId="1" dataCellStyle="Обычный 2"/>
    <tableColumn id="14" xr3:uid="{00000000-0010-0000-0300-00000E000000}" name="Exit" dataDxfId="0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F23136-4C9E-4CDF-925E-AB1CE6D6200B}" name="Option" displayName="Option" ref="BC1:BE2" totalsRowShown="0" headerRowCellStyle="Обычный 2" dataCellStyle="Обычный 2">
  <autoFilter ref="BC1:BE2" xr:uid="{B0F23136-4C9E-4CDF-925E-AB1CE6D6200B}"/>
  <tableColumns count="3">
    <tableColumn id="1" xr3:uid="{6EDB0789-08FD-4D73-BF4C-CB9448F9ACFB}" name="Столбик для комбобокса" dataCellStyle="Обычный 2"/>
    <tableColumn id="3" xr3:uid="{41232197-3061-47CD-ACA9-DC618F68941C}" name="Максимальный номер формата" dataCellStyle="Обычный 2"/>
    <tableColumn id="4" xr3:uid="{40BCC813-FDBB-42A2-AC41-790F4F04E282}" name="Минимальный номер формата" dataCellStyle="Обычный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tabSelected="1"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0"/>
  <dimension ref="A1:BE106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A21" sqref="A21"/>
    </sheetView>
  </sheetViews>
  <sheetFormatPr defaultColWidth="8.85546875" defaultRowHeight="15" x14ac:dyDescent="0.25"/>
  <cols>
    <col min="1" max="1" width="5.140625" style="2" bestFit="1" customWidth="1"/>
    <col min="2" max="2" width="15.85546875" style="2" customWidth="1"/>
    <col min="3" max="3" width="11.85546875" style="2" bestFit="1" customWidth="1"/>
    <col min="4" max="5" width="23.42578125" style="2" bestFit="1" customWidth="1"/>
    <col min="6" max="6" width="14.7109375" style="2" customWidth="1"/>
    <col min="7" max="8" width="7.28515625" style="2" customWidth="1"/>
    <col min="9" max="9" width="18" style="2" bestFit="1" customWidth="1"/>
    <col min="11" max="11" width="17.7109375" style="2" customWidth="1"/>
    <col min="12" max="12" width="35.28515625" style="2" customWidth="1"/>
    <col min="13" max="15" width="26.42578125" style="2" customWidth="1"/>
    <col min="16" max="16" width="31" style="2" customWidth="1"/>
    <col min="17" max="17" width="28.7109375" style="2" customWidth="1"/>
    <col min="18" max="18" width="27.85546875" style="2" bestFit="1" customWidth="1"/>
    <col min="19" max="19" width="8.85546875" style="2"/>
    <col min="20" max="23" width="5.42578125" style="2" bestFit="1" customWidth="1"/>
    <col min="24" max="24" width="6.7109375" style="2" bestFit="1" customWidth="1"/>
    <col min="25" max="25" width="5.42578125" style="2" bestFit="1" customWidth="1"/>
    <col min="26" max="26" width="5.42578125" style="2" customWidth="1"/>
    <col min="27" max="27" width="6" style="2" customWidth="1"/>
    <col min="28" max="28" width="12.7109375" style="2" customWidth="1"/>
    <col min="29" max="29" width="33.5703125" style="2" customWidth="1"/>
    <col min="30" max="30" width="7.85546875" bestFit="1" customWidth="1"/>
    <col min="31" max="31" width="13.85546875" style="2" customWidth="1"/>
    <col min="32" max="32" width="25" style="2" customWidth="1"/>
    <col min="33" max="34" width="8" style="2" customWidth="1"/>
    <col min="35" max="35" width="9.7109375" style="2" customWidth="1"/>
    <col min="36" max="36" width="29.140625" style="2" customWidth="1"/>
    <col min="37" max="38" width="8.42578125" style="2" customWidth="1"/>
    <col min="39" max="43" width="6.7109375" style="2" bestFit="1" customWidth="1"/>
    <col min="44" max="44" width="7.7109375" style="2" bestFit="1" customWidth="1"/>
    <col min="45" max="45" width="26.28515625" style="2" customWidth="1"/>
    <col min="46" max="46" width="15.7109375" style="2" bestFit="1" customWidth="1"/>
    <col min="47" max="47" width="41.28515625" style="2" customWidth="1"/>
    <col min="48" max="48" width="7.85546875" style="2" bestFit="1" customWidth="1"/>
    <col min="49" max="49" width="14.7109375" style="2" customWidth="1"/>
    <col min="50" max="50" width="15.5703125" style="2" customWidth="1"/>
    <col min="51" max="51" width="13.42578125" style="2" bestFit="1" customWidth="1"/>
    <col min="52" max="54" width="8.85546875" style="2"/>
    <col min="55" max="57" width="15.5703125" style="2" customWidth="1"/>
    <col min="58" max="16384" width="8.85546875" style="2"/>
  </cols>
  <sheetData>
    <row r="1" spans="1:57" x14ac:dyDescent="0.25">
      <c r="A1" s="1" t="s">
        <v>160</v>
      </c>
      <c r="B1" s="1" t="s">
        <v>154</v>
      </c>
      <c r="C1" s="1" t="s">
        <v>340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372</v>
      </c>
      <c r="K1" s="2" t="s">
        <v>6</v>
      </c>
      <c r="L1" s="2" t="s">
        <v>155</v>
      </c>
      <c r="M1" s="2" t="s">
        <v>215</v>
      </c>
      <c r="N1" s="2" t="s">
        <v>213</v>
      </c>
      <c r="O1" s="2" t="s">
        <v>214</v>
      </c>
      <c r="P1" s="2" t="s">
        <v>373</v>
      </c>
      <c r="Q1" s="2" t="s">
        <v>449</v>
      </c>
      <c r="T1" s="2" t="s">
        <v>152</v>
      </c>
      <c r="U1" s="2" t="s">
        <v>156</v>
      </c>
      <c r="V1" s="2" t="s">
        <v>157</v>
      </c>
      <c r="W1" s="2" t="s">
        <v>158</v>
      </c>
      <c r="X1" s="2" t="s">
        <v>159</v>
      </c>
      <c r="Y1" s="2" t="s">
        <v>341</v>
      </c>
      <c r="Z1" s="2" t="s">
        <v>344</v>
      </c>
      <c r="AA1" s="2" t="s">
        <v>342</v>
      </c>
      <c r="AB1" s="2" t="s">
        <v>343</v>
      </c>
      <c r="AC1" s="2" t="s">
        <v>153</v>
      </c>
      <c r="AD1" s="2" t="s">
        <v>440</v>
      </c>
      <c r="AE1" s="2" t="s">
        <v>442</v>
      </c>
      <c r="AF1" s="2" t="s">
        <v>441</v>
      </c>
      <c r="AI1" s="2" t="s">
        <v>152</v>
      </c>
      <c r="AJ1" s="2" t="s">
        <v>153</v>
      </c>
      <c r="AM1" s="9" t="s">
        <v>156</v>
      </c>
      <c r="AN1" s="9" t="s">
        <v>157</v>
      </c>
      <c r="AO1" s="9" t="s">
        <v>158</v>
      </c>
      <c r="AP1" s="9" t="s">
        <v>159</v>
      </c>
      <c r="AQ1" s="2" t="s">
        <v>341</v>
      </c>
      <c r="AR1" s="2" t="s">
        <v>344</v>
      </c>
      <c r="AS1" s="10" t="s">
        <v>342</v>
      </c>
      <c r="AT1" s="2" t="s">
        <v>343</v>
      </c>
      <c r="AU1" s="10" t="s">
        <v>153</v>
      </c>
      <c r="AV1" s="12" t="s">
        <v>440</v>
      </c>
      <c r="AW1" s="12" t="s">
        <v>442</v>
      </c>
      <c r="AX1" s="12" t="s">
        <v>441</v>
      </c>
      <c r="AY1" s="10" t="s">
        <v>443</v>
      </c>
      <c r="AZ1" s="10" t="s">
        <v>444</v>
      </c>
      <c r="BC1" s="13" t="s">
        <v>448</v>
      </c>
      <c r="BD1" s="2" t="s">
        <v>450</v>
      </c>
      <c r="BE1" s="2" t="s">
        <v>451</v>
      </c>
    </row>
    <row r="2" spans="1:57" ht="41.25" customHeight="1" x14ac:dyDescent="0.25">
      <c r="A2" s="3">
        <v>1</v>
      </c>
      <c r="B2" s="1" t="s">
        <v>161</v>
      </c>
      <c r="C2" s="1"/>
      <c r="J2" s="2"/>
      <c r="P2" s="1" t="s">
        <v>161</v>
      </c>
      <c r="Q2" s="2" t="s">
        <v>161</v>
      </c>
      <c r="T2" s="2">
        <v>1</v>
      </c>
      <c r="U2" s="2">
        <v>54</v>
      </c>
      <c r="V2" s="2">
        <v>76</v>
      </c>
      <c r="W2" s="2">
        <v>95</v>
      </c>
      <c r="X2" s="2">
        <v>1</v>
      </c>
      <c r="Y2" s="2">
        <v>14</v>
      </c>
      <c r="Z2" s="2">
        <v>11</v>
      </c>
      <c r="AA2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 xml:space="preserve">Криксиван [Индинавир (IDV)] ; Ставудин (d4T) ; Эдюрант [Рилпивирин (RPV)] ; </v>
      </c>
      <c r="AB2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 xml:space="preserve">IDV ; d4T ; RPV ; </v>
      </c>
      <c r="AC2" s="8" t="str">
        <f>IFERROR(LEFT(Scheme[[#This Row],[Text+]],LEN(Scheme[[#This Row],[Text+]])-3)&amp;CHAR(10)&amp;LEFT(Scheme[[#This Row],[Class+]],LEN(Scheme[[#This Row],[Class+]])-3),"")</f>
        <v>Криксиван [Индинавир (IDV)] ; Ставудин (d4T) ; Эдюрант [Рилпивирин (RPV)]
IDV ; d4T ; RPV</v>
      </c>
      <c r="AD2" s="8">
        <v>10</v>
      </c>
      <c r="AE2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>ИП+НИОТ+ННИОТ+</v>
      </c>
      <c r="AF2" s="8" t="str">
        <f>IFERROR(LEFT(Scheme[[#This Row],[TextV+]],LEN(Scheme[[#This Row],[TextV+]])-1),"")</f>
        <v>ИП+НИОТ+ННИОТ</v>
      </c>
      <c r="AG2" s="8"/>
      <c r="AI2" s="2">
        <v>1</v>
      </c>
      <c r="AJ2" s="2">
        <v>1</v>
      </c>
      <c r="AM2" s="2">
        <v>54</v>
      </c>
      <c r="AN2" s="2">
        <v>77</v>
      </c>
      <c r="AO2" s="2">
        <v>95</v>
      </c>
      <c r="AP2" s="2">
        <v>1</v>
      </c>
      <c r="AQ2" s="2">
        <v>14</v>
      </c>
      <c r="AR2" s="2">
        <v>11</v>
      </c>
      <c r="AS2" s="11" t="str">
        <f>IF(Scheme0[[#This Row],[P1]]&gt;1,VLOOKUP(Scheme0[[#This Row],[P1]],ARVP[],Scheme0[[#This Row],[СТ]],0)&amp;" ; ","")&amp;IF(Scheme0[[#This Row],[P2]]&gt;1,VLOOKUP(Scheme0[[#This Row],[P2]],ARVP[],Scheme0[[#This Row],[СТ]],0)&amp;" ; ","")&amp;IF(Scheme0[[#This Row],[P3]]&gt;1,VLOOKUP(Scheme0[[#This Row],[P3]],ARVP[],Scheme0[[#This Row],[СТ]],0)&amp;" ; ","")&amp;IF(Scheme0[[#This Row],[P4]]&gt;1,VLOOKUP(Scheme0[[#This Row],[P4]],ARVP[],Scheme0[[#This Row],[СТ]],0)&amp;" ; ","")</f>
        <v xml:space="preserve">Криксиван [Индинавир (IDV)] ; Ставудин (d4T) ; Эдюрант [Рилпивирин (RPV)] ; </v>
      </c>
      <c r="AT2" s="11" t="str">
        <f>IF(Scheme0[[#This Row],[P1]]&gt;1,VLOOKUP(Scheme0[[#This Row],[P1]],ARVP[],Scheme0[[#This Row],[СТ1]],0)&amp;" ; ","")&amp;IF(Scheme0[[#This Row],[P2]]&gt;1,VLOOKUP(Scheme0[[#This Row],[P2]],ARVP[],Scheme0[[#This Row],[СТ1]],0)&amp;" ; ","")&amp;IF(Scheme0[[#This Row],[P3]]&gt;1,VLOOKUP(Scheme0[[#This Row],[P3]],ARVP[],Scheme0[[#This Row],[СТ1]],0)&amp;" ; ","")&amp;IF(Scheme0[[#This Row],[P4]]&gt;1,VLOOKUP(Scheme0[[#This Row],[P4]],ARVP[],Scheme0[[#This Row],[СТ1]],0)&amp;" ; ","")</f>
        <v xml:space="preserve">IDV ; d4T ; RPV ; </v>
      </c>
      <c r="AU2" s="11" t="str">
        <f>IFERROR(LEFT(Scheme0[[#This Row],[Text+]],LEN(Scheme0[[#This Row],[Text+]])-3)&amp;CHAR(10)&amp;LEFT(Scheme0[[#This Row],[Class+]],LEN(Scheme0[[#This Row],[Class+]])-3),"")</f>
        <v>Криксиван [Индинавир (IDV)] ; Ставудин (d4T) ; Эдюрант [Рилпивирин (RPV)]
IDV ; d4T ; RPV</v>
      </c>
      <c r="AV2" s="11">
        <v>11</v>
      </c>
      <c r="AW2" s="11" t="str">
        <f>IF(Scheme0[[#This Row],[P1]]&gt;1,VLOOKUP(Scheme0[[#This Row],[P1]],ARVP[],Scheme0[[#This Row],[СТВ]],0)&amp;"|","")&amp;IF(Scheme0[[#This Row],[P2]]&gt;1,VLOOKUP(Scheme0[[#This Row],[P2]],ARVP[],Scheme0[[#This Row],[СТВ]],0)&amp;"|","")&amp;IF(Scheme0[[#This Row],[P3]]&gt;1,VLOOKUP(Scheme0[[#This Row],[P3]],ARVP[],Scheme0[[#This Row],[СТВ]],0)&amp;"|","")&amp;IF(Scheme0[[#This Row],[P4]]&gt;1,VLOOKUP(Scheme0[[#This Row],[P4]],ARVP[],Scheme0[[#This Row],[СТВ]],0)&amp;"|","")</f>
        <v>IDV|d4T|RPV|</v>
      </c>
      <c r="AX2" s="11" t="str">
        <f>IFERROR(LEFT(Scheme0[[#This Row],[TextV+]],LEN(Scheme0[[#This Row],[TextV+]])-1),"")</f>
        <v>IDV|d4T|RPV</v>
      </c>
      <c r="AY2" s="11">
        <v>1</v>
      </c>
      <c r="AZ2" s="11">
        <v>0</v>
      </c>
      <c r="BC2" s="2">
        <v>16</v>
      </c>
      <c r="BD2" s="2">
        <v>16</v>
      </c>
      <c r="BE2" s="2">
        <v>11</v>
      </c>
    </row>
    <row r="3" spans="1:57" ht="60" x14ac:dyDescent="0.25">
      <c r="A3" s="3">
        <v>2</v>
      </c>
      <c r="B3" s="3" t="s">
        <v>7</v>
      </c>
      <c r="C3" s="3" t="s">
        <v>340</v>
      </c>
      <c r="D3" s="2" t="s">
        <v>7</v>
      </c>
      <c r="G3" s="2" t="s">
        <v>8</v>
      </c>
      <c r="J3" s="2" t="s">
        <v>9</v>
      </c>
      <c r="K3" s="2" t="s">
        <v>8</v>
      </c>
      <c r="L3" s="2" t="s">
        <v>7</v>
      </c>
      <c r="M3" s="2" t="s">
        <v>171</v>
      </c>
      <c r="N3" s="2" t="s">
        <v>171</v>
      </c>
      <c r="O3" s="2" t="s">
        <v>171</v>
      </c>
      <c r="P3" s="2" t="s">
        <v>345</v>
      </c>
      <c r="Q3" s="15" t="s">
        <v>452</v>
      </c>
      <c r="T3" s="2">
        <v>2</v>
      </c>
      <c r="U3" s="2">
        <v>3</v>
      </c>
      <c r="V3" s="2">
        <v>76</v>
      </c>
      <c r="W3" s="2">
        <v>95</v>
      </c>
      <c r="X3" s="2">
        <v>1</v>
      </c>
      <c r="Y3" s="2">
        <v>14</v>
      </c>
      <c r="Z3" s="2">
        <v>11</v>
      </c>
      <c r="AA3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 xml:space="preserve">Азидотимидин (AZT) ; Ставудин (d4T) ; Эдюрант [Рилпивирин (RPV)] ; </v>
      </c>
      <c r="AB3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 xml:space="preserve">AZT ; d4T ; RPV ; </v>
      </c>
      <c r="AC3" s="8" t="str">
        <f>IFERROR(LEFT(Scheme[[#This Row],[Text+]],LEN(Scheme[[#This Row],[Text+]])-3)&amp;CHAR(10)&amp;LEFT(Scheme[[#This Row],[Class+]],LEN(Scheme[[#This Row],[Class+]])-3),"")</f>
        <v>Азидотимидин (AZT) ; Ставудин (d4T) ; Эдюрант [Рилпивирин (RPV)]
AZT ; d4T ; RPV</v>
      </c>
      <c r="AD3" s="8">
        <v>10</v>
      </c>
      <c r="AE3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>НИОТ+НИОТ+ННИОТ+</v>
      </c>
      <c r="AF3" s="8" t="str">
        <f>IFERROR(LEFT(Scheme[[#This Row],[TextV+]],LEN(Scheme[[#This Row],[TextV+]])-1),"")</f>
        <v>НИОТ+НИОТ+ННИОТ</v>
      </c>
      <c r="AG3" s="8"/>
      <c r="AI3" s="2">
        <v>2</v>
      </c>
      <c r="AJ3" s="2">
        <v>0</v>
      </c>
    </row>
    <row r="4" spans="1:57" x14ac:dyDescent="0.25">
      <c r="A4" s="3">
        <v>3</v>
      </c>
      <c r="B4" s="3" t="s">
        <v>10</v>
      </c>
      <c r="C4" s="3" t="s">
        <v>340</v>
      </c>
      <c r="D4" s="3" t="s">
        <v>10</v>
      </c>
      <c r="G4" s="2" t="s">
        <v>11</v>
      </c>
      <c r="J4" s="2" t="s">
        <v>9</v>
      </c>
      <c r="K4" s="2" t="s">
        <v>11</v>
      </c>
      <c r="L4" s="2" t="s">
        <v>10</v>
      </c>
      <c r="M4" s="2" t="s">
        <v>172</v>
      </c>
      <c r="N4" s="2" t="s">
        <v>172</v>
      </c>
      <c r="O4" s="2" t="s">
        <v>172</v>
      </c>
      <c r="P4" s="2" t="s">
        <v>346</v>
      </c>
      <c r="T4" s="2">
        <v>3</v>
      </c>
      <c r="U4" s="2">
        <v>1</v>
      </c>
      <c r="V4" s="2">
        <v>1</v>
      </c>
      <c r="W4" s="2">
        <v>1</v>
      </c>
      <c r="X4" s="2">
        <v>1</v>
      </c>
      <c r="Y4" s="2">
        <v>14</v>
      </c>
      <c r="Z4" s="2">
        <v>11</v>
      </c>
      <c r="AA4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/>
      </c>
      <c r="AB4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/>
      </c>
      <c r="AC4" s="8" t="str">
        <f>IFERROR(LEFT(Scheme[[#This Row],[Text+]],LEN(Scheme[[#This Row],[Text+]])-3)&amp;CHAR(10)&amp;LEFT(Scheme[[#This Row],[Class+]],LEN(Scheme[[#This Row],[Class+]])-3),"")</f>
        <v/>
      </c>
      <c r="AD4" s="8">
        <v>10</v>
      </c>
      <c r="AE4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/>
      </c>
      <c r="AF4" s="8" t="str">
        <f>IFERROR(LEFT(Scheme[[#This Row],[TextV+]],LEN(Scheme[[#This Row],[TextV+]])-1),"")</f>
        <v/>
      </c>
      <c r="AG4" s="8"/>
      <c r="AI4" s="2">
        <v>3</v>
      </c>
      <c r="AJ4" s="2">
        <v>0</v>
      </c>
      <c r="AW4" s="14"/>
    </row>
    <row r="5" spans="1:57" x14ac:dyDescent="0.25">
      <c r="A5" s="3">
        <v>4</v>
      </c>
      <c r="B5" s="3" t="s">
        <v>13</v>
      </c>
      <c r="C5" s="3" t="s">
        <v>154</v>
      </c>
      <c r="D5" s="2" t="s">
        <v>14</v>
      </c>
      <c r="G5" s="2" t="s">
        <v>15</v>
      </c>
      <c r="J5" s="2" t="s">
        <v>9</v>
      </c>
      <c r="K5" s="2" t="s">
        <v>15</v>
      </c>
      <c r="L5" s="2" t="s">
        <v>14</v>
      </c>
      <c r="M5" s="2" t="s">
        <v>173</v>
      </c>
      <c r="N5" s="2" t="s">
        <v>216</v>
      </c>
      <c r="O5" s="2" t="s">
        <v>217</v>
      </c>
      <c r="P5" s="2" t="s">
        <v>347</v>
      </c>
      <c r="T5" s="2">
        <v>4</v>
      </c>
      <c r="U5" s="2">
        <v>1</v>
      </c>
      <c r="V5" s="2">
        <v>1</v>
      </c>
      <c r="W5" s="2">
        <v>1</v>
      </c>
      <c r="X5" s="2">
        <v>1</v>
      </c>
      <c r="Y5" s="2">
        <v>14</v>
      </c>
      <c r="Z5" s="2">
        <v>11</v>
      </c>
      <c r="AA5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/>
      </c>
      <c r="AB5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/>
      </c>
      <c r="AC5" s="8" t="str">
        <f>IFERROR(LEFT(Scheme[[#This Row],[Text+]],LEN(Scheme[[#This Row],[Text+]])-3)&amp;CHAR(10)&amp;LEFT(Scheme[[#This Row],[Class+]],LEN(Scheme[[#This Row],[Class+]])-3),"")</f>
        <v/>
      </c>
      <c r="AD5" s="8">
        <v>10</v>
      </c>
      <c r="AE5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/>
      </c>
      <c r="AF5" s="8" t="str">
        <f>IFERROR(LEFT(Scheme[[#This Row],[TextV+]],LEN(Scheme[[#This Row],[TextV+]])-1),"")</f>
        <v/>
      </c>
      <c r="AG5" s="8"/>
    </row>
    <row r="6" spans="1:57" x14ac:dyDescent="0.25">
      <c r="A6" s="3">
        <v>5</v>
      </c>
      <c r="B6" s="3" t="s">
        <v>16</v>
      </c>
      <c r="C6" s="3" t="s">
        <v>154</v>
      </c>
      <c r="D6" s="2" t="s">
        <v>7</v>
      </c>
      <c r="E6" s="2" t="s">
        <v>17</v>
      </c>
      <c r="G6" s="2" t="s">
        <v>8</v>
      </c>
      <c r="H6" s="2" t="s">
        <v>18</v>
      </c>
      <c r="J6" s="2" t="s">
        <v>9</v>
      </c>
      <c r="K6" s="2" t="s">
        <v>19</v>
      </c>
      <c r="L6" s="2" t="s">
        <v>162</v>
      </c>
      <c r="M6" s="2" t="s">
        <v>174</v>
      </c>
      <c r="N6" s="2" t="s">
        <v>218</v>
      </c>
      <c r="O6" s="2" t="s">
        <v>219</v>
      </c>
      <c r="P6" s="2" t="s">
        <v>348</v>
      </c>
      <c r="Q6" s="15" t="s">
        <v>162</v>
      </c>
      <c r="T6" s="2">
        <v>5</v>
      </c>
      <c r="U6" s="2">
        <v>1</v>
      </c>
      <c r="V6" s="2">
        <v>1</v>
      </c>
      <c r="W6" s="2">
        <v>1</v>
      </c>
      <c r="X6" s="2">
        <v>1</v>
      </c>
      <c r="Y6" s="2">
        <v>14</v>
      </c>
      <c r="Z6" s="2">
        <v>11</v>
      </c>
      <c r="AA6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/>
      </c>
      <c r="AB6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/>
      </c>
      <c r="AC6" s="8" t="str">
        <f>IFERROR(LEFT(Scheme[[#This Row],[Text+]],LEN(Scheme[[#This Row],[Text+]])-3)&amp;CHAR(10)&amp;LEFT(Scheme[[#This Row],[Class+]],LEN(Scheme[[#This Row],[Class+]])-3),"")</f>
        <v/>
      </c>
      <c r="AD6" s="8">
        <v>10</v>
      </c>
      <c r="AE6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/>
      </c>
      <c r="AF6" s="8" t="str">
        <f>IFERROR(LEFT(Scheme[[#This Row],[TextV+]],LEN(Scheme[[#This Row],[TextV+]])-1),"")</f>
        <v/>
      </c>
      <c r="AG6" s="8"/>
    </row>
    <row r="7" spans="1:57" ht="60" x14ac:dyDescent="0.25">
      <c r="A7" s="3">
        <v>6</v>
      </c>
      <c r="B7" s="3" t="s">
        <v>20</v>
      </c>
      <c r="C7" s="3" t="s">
        <v>154</v>
      </c>
      <c r="D7" s="2" t="s">
        <v>17</v>
      </c>
      <c r="G7" s="2" t="s">
        <v>18</v>
      </c>
      <c r="J7" s="2" t="s">
        <v>9</v>
      </c>
      <c r="K7" s="2" t="s">
        <v>18</v>
      </c>
      <c r="L7" s="2" t="s">
        <v>17</v>
      </c>
      <c r="M7" s="2" t="s">
        <v>175</v>
      </c>
      <c r="N7" s="2" t="s">
        <v>220</v>
      </c>
      <c r="O7" s="2" t="s">
        <v>221</v>
      </c>
      <c r="P7" s="2" t="s">
        <v>349</v>
      </c>
      <c r="T7" s="2">
        <v>6</v>
      </c>
      <c r="U7" s="2">
        <v>62</v>
      </c>
      <c r="V7" s="2">
        <v>43</v>
      </c>
      <c r="W7" s="2">
        <v>92</v>
      </c>
      <c r="X7" s="2">
        <v>1</v>
      </c>
      <c r="Y7" s="2">
        <v>14</v>
      </c>
      <c r="Z7" s="2">
        <v>11</v>
      </c>
      <c r="AA7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 xml:space="preserve">Нелфинавир (NFV) ; Интеленс [Этравирин (ETR)] ; Фосфазид (PhAZT) ; </v>
      </c>
      <c r="AB7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 xml:space="preserve">NFV ; ETR ; PhAZT ; </v>
      </c>
      <c r="AC7" s="8" t="str">
        <f>IFERROR(LEFT(Scheme[[#This Row],[Text+]],LEN(Scheme[[#This Row],[Text+]])-3)&amp;CHAR(10)&amp;LEFT(Scheme[[#This Row],[Class+]],LEN(Scheme[[#This Row],[Class+]])-3),"")</f>
        <v>Нелфинавир (NFV) ; Интеленс [Этравирин (ETR)] ; Фосфазид (PhAZT)
NFV ; ETR ; PhAZT</v>
      </c>
      <c r="AD7" s="8">
        <v>10</v>
      </c>
      <c r="AE7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>ИП+ННИОТ+НИОТ+</v>
      </c>
      <c r="AF7" s="8" t="str">
        <f>IFERROR(LEFT(Scheme[[#This Row],[TextV+]],LEN(Scheme[[#This Row],[TextV+]])-1),"")</f>
        <v>ИП+ННИОТ+НИОТ</v>
      </c>
      <c r="AG7" s="8"/>
    </row>
    <row r="8" spans="1:57" x14ac:dyDescent="0.25">
      <c r="A8" s="3">
        <v>7</v>
      </c>
      <c r="B8" s="3" t="s">
        <v>21</v>
      </c>
      <c r="C8" s="3" t="s">
        <v>154</v>
      </c>
      <c r="D8" s="2" t="s">
        <v>22</v>
      </c>
      <c r="G8" s="2" t="s">
        <v>23</v>
      </c>
      <c r="J8" s="2" t="s">
        <v>24</v>
      </c>
      <c r="K8" s="2" t="s">
        <v>23</v>
      </c>
      <c r="L8" s="2" t="s">
        <v>22</v>
      </c>
      <c r="M8" s="2" t="s">
        <v>176</v>
      </c>
      <c r="N8" s="2" t="s">
        <v>222</v>
      </c>
      <c r="O8" s="2" t="s">
        <v>223</v>
      </c>
      <c r="P8" s="2" t="s">
        <v>350</v>
      </c>
      <c r="T8" s="2">
        <v>7</v>
      </c>
      <c r="U8" s="2">
        <v>1</v>
      </c>
      <c r="V8" s="2">
        <v>1</v>
      </c>
      <c r="W8" s="2">
        <v>1</v>
      </c>
      <c r="X8" s="2">
        <v>1</v>
      </c>
      <c r="Y8" s="2">
        <v>14</v>
      </c>
      <c r="Z8" s="2">
        <v>11</v>
      </c>
      <c r="AA8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/>
      </c>
      <c r="AB8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/>
      </c>
      <c r="AC8" s="8" t="str">
        <f>IFERROR(LEFT(Scheme[[#This Row],[Text+]],LEN(Scheme[[#This Row],[Text+]])-3)&amp;CHAR(10)&amp;LEFT(Scheme[[#This Row],[Class+]],LEN(Scheme[[#This Row],[Class+]])-3),"")</f>
        <v/>
      </c>
      <c r="AD8" s="8">
        <v>10</v>
      </c>
      <c r="AE8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/>
      </c>
      <c r="AF8" s="8" t="str">
        <f>IFERROR(LEFT(Scheme[[#This Row],[TextV+]],LEN(Scheme[[#This Row],[TextV+]])-1),"")</f>
        <v/>
      </c>
      <c r="AG8" s="8"/>
    </row>
    <row r="9" spans="1:57" x14ac:dyDescent="0.25">
      <c r="A9" s="3">
        <v>8</v>
      </c>
      <c r="B9" s="3" t="s">
        <v>25</v>
      </c>
      <c r="C9" s="3" t="s">
        <v>340</v>
      </c>
      <c r="D9" s="3" t="s">
        <v>25</v>
      </c>
      <c r="G9" s="2" t="s">
        <v>26</v>
      </c>
      <c r="J9" s="2" t="s">
        <v>24</v>
      </c>
      <c r="K9" s="2" t="s">
        <v>26</v>
      </c>
      <c r="L9" s="2" t="s">
        <v>25</v>
      </c>
      <c r="M9" s="2" t="s">
        <v>177</v>
      </c>
      <c r="N9" s="2" t="s">
        <v>177</v>
      </c>
      <c r="O9" s="2" t="s">
        <v>177</v>
      </c>
      <c r="P9" s="2" t="s">
        <v>351</v>
      </c>
      <c r="Q9" s="16" t="s">
        <v>470</v>
      </c>
      <c r="T9" s="2">
        <v>8</v>
      </c>
      <c r="U9" s="2">
        <v>1</v>
      </c>
      <c r="V9" s="2">
        <v>1</v>
      </c>
      <c r="W9" s="2">
        <v>1</v>
      </c>
      <c r="X9" s="2">
        <v>1</v>
      </c>
      <c r="Y9" s="2">
        <v>14</v>
      </c>
      <c r="Z9" s="2">
        <v>11</v>
      </c>
      <c r="AA9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/>
      </c>
      <c r="AB9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/>
      </c>
      <c r="AC9" s="8" t="str">
        <f>IFERROR(LEFT(Scheme[[#This Row],[Text+]],LEN(Scheme[[#This Row],[Text+]])-3)&amp;CHAR(10)&amp;LEFT(Scheme[[#This Row],[Class+]],LEN(Scheme[[#This Row],[Class+]])-3),"")</f>
        <v/>
      </c>
      <c r="AD9" s="8">
        <v>10</v>
      </c>
      <c r="AE9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/>
      </c>
      <c r="AF9" s="8" t="str">
        <f>IFERROR(LEFT(Scheme[[#This Row],[TextV+]],LEN(Scheme[[#This Row],[TextV+]])-1),"")</f>
        <v/>
      </c>
      <c r="AG9" s="8"/>
    </row>
    <row r="10" spans="1:57" x14ac:dyDescent="0.25">
      <c r="A10" s="3">
        <v>9</v>
      </c>
      <c r="B10" s="3" t="s">
        <v>453</v>
      </c>
      <c r="C10" s="3" t="s">
        <v>340</v>
      </c>
      <c r="D10" s="3" t="s">
        <v>25</v>
      </c>
      <c r="G10" s="2" t="s">
        <v>26</v>
      </c>
      <c r="J10" s="2" t="s">
        <v>24</v>
      </c>
      <c r="K10" s="2" t="s">
        <v>26</v>
      </c>
      <c r="L10" s="2" t="s">
        <v>25</v>
      </c>
      <c r="M10" s="2" t="s">
        <v>177</v>
      </c>
      <c r="N10" s="2" t="s">
        <v>177</v>
      </c>
      <c r="O10" s="2" t="s">
        <v>177</v>
      </c>
      <c r="P10" s="2" t="s">
        <v>351</v>
      </c>
      <c r="Q10" s="16" t="s">
        <v>453</v>
      </c>
      <c r="T10" s="2">
        <v>9</v>
      </c>
      <c r="U10" s="2">
        <v>1</v>
      </c>
      <c r="V10" s="2">
        <v>1</v>
      </c>
      <c r="W10" s="2">
        <v>1</v>
      </c>
      <c r="X10" s="2">
        <v>1</v>
      </c>
      <c r="Y10" s="2">
        <v>14</v>
      </c>
      <c r="Z10" s="2">
        <v>11</v>
      </c>
      <c r="AA10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/>
      </c>
      <c r="AB10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/>
      </c>
      <c r="AC10" s="8" t="str">
        <f>IFERROR(LEFT(Scheme[[#This Row],[Text+]],LEN(Scheme[[#This Row],[Text+]])-3)&amp;CHAR(10)&amp;LEFT(Scheme[[#This Row],[Class+]],LEN(Scheme[[#This Row],[Class+]])-3),"")</f>
        <v/>
      </c>
      <c r="AD10" s="8">
        <v>10</v>
      </c>
      <c r="AE10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/>
      </c>
      <c r="AF10" s="8" t="str">
        <f>IFERROR(LEFT(Scheme[[#This Row],[TextV+]],LEN(Scheme[[#This Row],[TextV+]])-1),"")</f>
        <v/>
      </c>
      <c r="AG10" s="8"/>
    </row>
    <row r="11" spans="1:57" x14ac:dyDescent="0.25">
      <c r="A11" s="3">
        <v>10</v>
      </c>
      <c r="B11" s="3" t="s">
        <v>467</v>
      </c>
      <c r="C11" s="3" t="s">
        <v>340</v>
      </c>
      <c r="D11" s="3" t="s">
        <v>25</v>
      </c>
      <c r="G11" s="2" t="s">
        <v>26</v>
      </c>
      <c r="J11" s="2" t="s">
        <v>24</v>
      </c>
      <c r="K11" s="2" t="s">
        <v>26</v>
      </c>
      <c r="L11" s="2" t="s">
        <v>25</v>
      </c>
      <c r="M11" s="2" t="s">
        <v>177</v>
      </c>
      <c r="N11" s="2" t="s">
        <v>177</v>
      </c>
      <c r="O11" s="2" t="s">
        <v>177</v>
      </c>
      <c r="P11" s="2" t="s">
        <v>351</v>
      </c>
      <c r="Q11" s="16" t="s">
        <v>467</v>
      </c>
      <c r="T11" s="2">
        <v>10</v>
      </c>
      <c r="U11" s="2">
        <v>1</v>
      </c>
      <c r="V11" s="2">
        <v>1</v>
      </c>
      <c r="W11" s="2">
        <v>1</v>
      </c>
      <c r="X11" s="2">
        <v>1</v>
      </c>
      <c r="Y11" s="2">
        <v>14</v>
      </c>
      <c r="Z11" s="2">
        <v>11</v>
      </c>
      <c r="AA11" s="2" t="str">
        <f>IF(Scheme[[#This Row],[P1]]&gt;1,VLOOKUP(Scheme[[#This Row],[P1]],ARVP[],Scheme[[#This Row],[СТ]],0)&amp;" ; ","")&amp;IF(Scheme[[#This Row],[P2]]&gt;1,VLOOKUP(Scheme[[#This Row],[P2]],ARVP[],Scheme[[#This Row],[СТ]],0)&amp;" ; ","")&amp;IF(Scheme[[#This Row],[P3]]&gt;1,VLOOKUP(Scheme[[#This Row],[P3]],ARVP[],Scheme[[#This Row],[СТ]],0)&amp;" ; ","")&amp;IF(Scheme[[#This Row],[P4]]&gt;1,VLOOKUP(Scheme[[#This Row],[P4]],ARVP[],Scheme[[#This Row],[СТ]],0)&amp;" ; ","")</f>
        <v/>
      </c>
      <c r="AB11" s="2" t="str">
        <f>IF(Scheme[[#This Row],[P1]]&gt;1,VLOOKUP(Scheme[[#This Row],[P1]],ARVP[],Scheme[[#This Row],[СТ1]],0)&amp;" ; ","")&amp;IF(Scheme[[#This Row],[P2]]&gt;1,VLOOKUP(Scheme[[#This Row],[P2]],ARVP[],Scheme[[#This Row],[СТ1]],0)&amp;" ; ","")&amp;IF(Scheme[[#This Row],[P3]]&gt;1,VLOOKUP(Scheme[[#This Row],[P3]],ARVP[],Scheme[[#This Row],[СТ1]],0)&amp;" ; ","")&amp;IF(Scheme[[#This Row],[P4]]&gt;1,VLOOKUP(Scheme[[#This Row],[P4]],ARVP[],Scheme[[#This Row],[СТ1]],0)&amp;" ; ","")</f>
        <v/>
      </c>
      <c r="AC11" s="8" t="str">
        <f>IFERROR(LEFT(Scheme[[#This Row],[Text+]],LEN(Scheme[[#This Row],[Text+]])-3)&amp;CHAR(10)&amp;LEFT(Scheme[[#This Row],[Class+]],LEN(Scheme[[#This Row],[Class+]])-3),"")</f>
        <v/>
      </c>
      <c r="AD11" s="8">
        <v>10</v>
      </c>
      <c r="AE11" s="2" t="str">
        <f>IF(Scheme[[#This Row],[P1]]&gt;1,VLOOKUP(Scheme[[#This Row],[P1]],ARVP[],Scheme[[#This Row],[СТВ]],0)&amp;"+","")&amp;IF(Scheme[[#This Row],[P2]]&gt;1,VLOOKUP(Scheme[[#This Row],[P2]],ARVP[],Scheme[[#This Row],[СТВ]],0)&amp;"+","")&amp;IF(Scheme[[#This Row],[P3]]&gt;1,VLOOKUP(Scheme[[#This Row],[P3]],ARVP[],Scheme[[#This Row],[СТВ]],0)&amp;"+","")&amp;IF(Scheme[[#This Row],[P4]]&gt;1,VLOOKUP(Scheme[[#This Row],[P4]],ARVP[],Scheme[[#This Row],[СТВ]],0)&amp;"+","")</f>
        <v/>
      </c>
      <c r="AF11" s="8" t="str">
        <f>IFERROR(LEFT(Scheme[[#This Row],[TextV+]],LEN(Scheme[[#This Row],[TextV+]])-1),"")</f>
        <v/>
      </c>
      <c r="AG11" s="8"/>
    </row>
    <row r="12" spans="1:57" x14ac:dyDescent="0.25">
      <c r="A12" s="3">
        <v>11</v>
      </c>
      <c r="B12" s="3" t="s">
        <v>27</v>
      </c>
      <c r="C12" s="3" t="s">
        <v>154</v>
      </c>
      <c r="D12" s="3" t="s">
        <v>28</v>
      </c>
      <c r="E12" s="3" t="s">
        <v>29</v>
      </c>
      <c r="F12" s="3" t="s">
        <v>30</v>
      </c>
      <c r="G12" s="2" t="s">
        <v>31</v>
      </c>
      <c r="H12" s="2" t="s">
        <v>32</v>
      </c>
      <c r="I12" s="2" t="s">
        <v>33</v>
      </c>
      <c r="J12" s="2" t="s">
        <v>35</v>
      </c>
      <c r="K12" s="2" t="s">
        <v>34</v>
      </c>
      <c r="L12" s="2" t="s">
        <v>163</v>
      </c>
      <c r="M12" s="2" t="s">
        <v>178</v>
      </c>
      <c r="N12" s="2" t="s">
        <v>224</v>
      </c>
      <c r="O12" s="2" t="s">
        <v>225</v>
      </c>
      <c r="P12" s="2" t="s">
        <v>352</v>
      </c>
    </row>
    <row r="13" spans="1:57" x14ac:dyDescent="0.25">
      <c r="A13" s="3">
        <v>12</v>
      </c>
      <c r="B13" s="3" t="s">
        <v>36</v>
      </c>
      <c r="C13" s="3" t="s">
        <v>154</v>
      </c>
      <c r="D13" s="2" t="s">
        <v>37</v>
      </c>
      <c r="E13" s="2" t="s">
        <v>29</v>
      </c>
      <c r="F13" s="2" t="s">
        <v>38</v>
      </c>
      <c r="G13" s="2" t="s">
        <v>39</v>
      </c>
      <c r="H13" s="2" t="s">
        <v>32</v>
      </c>
      <c r="I13" s="2" t="s">
        <v>40</v>
      </c>
      <c r="J13" s="2" t="s">
        <v>42</v>
      </c>
      <c r="K13" s="2" t="s">
        <v>41</v>
      </c>
      <c r="L13" s="2" t="s">
        <v>164</v>
      </c>
      <c r="M13" s="2" t="s">
        <v>179</v>
      </c>
      <c r="N13" s="2" t="s">
        <v>226</v>
      </c>
      <c r="O13" s="2" t="s">
        <v>227</v>
      </c>
      <c r="P13" s="2" t="s">
        <v>353</v>
      </c>
    </row>
    <row r="14" spans="1:57" x14ac:dyDescent="0.25">
      <c r="A14" s="3">
        <v>13</v>
      </c>
      <c r="B14" s="3" t="s">
        <v>37</v>
      </c>
      <c r="C14" s="3" t="s">
        <v>340</v>
      </c>
      <c r="D14" s="2" t="s">
        <v>37</v>
      </c>
      <c r="G14" s="2" t="s">
        <v>39</v>
      </c>
      <c r="J14" s="2" t="s">
        <v>43</v>
      </c>
      <c r="K14" s="2" t="s">
        <v>39</v>
      </c>
      <c r="L14" s="2" t="s">
        <v>37</v>
      </c>
      <c r="M14" s="2" t="s">
        <v>180</v>
      </c>
      <c r="N14" s="2" t="s">
        <v>180</v>
      </c>
      <c r="O14" s="2" t="s">
        <v>180</v>
      </c>
      <c r="P14" s="2" t="s">
        <v>354</v>
      </c>
    </row>
    <row r="15" spans="1:57" x14ac:dyDescent="0.25">
      <c r="A15" s="3">
        <v>14</v>
      </c>
      <c r="B15" s="3" t="s">
        <v>44</v>
      </c>
      <c r="C15" s="3" t="s">
        <v>154</v>
      </c>
      <c r="D15" s="2" t="s">
        <v>45</v>
      </c>
      <c r="G15" s="2" t="s">
        <v>46</v>
      </c>
      <c r="J15" s="2" t="s">
        <v>9</v>
      </c>
      <c r="K15" s="2" t="s">
        <v>46</v>
      </c>
      <c r="L15" s="2" t="s">
        <v>45</v>
      </c>
      <c r="M15" s="2" t="s">
        <v>181</v>
      </c>
      <c r="N15" s="2" t="s">
        <v>228</v>
      </c>
      <c r="O15" s="2" t="s">
        <v>229</v>
      </c>
      <c r="P15" s="2" t="s">
        <v>355</v>
      </c>
      <c r="AC15" s="2">
        <v>3</v>
      </c>
    </row>
    <row r="16" spans="1:57" x14ac:dyDescent="0.25">
      <c r="A16" s="3">
        <v>15</v>
      </c>
      <c r="B16" s="3" t="s">
        <v>47</v>
      </c>
      <c r="C16" s="3" t="s">
        <v>154</v>
      </c>
      <c r="D16" s="2" t="s">
        <v>48</v>
      </c>
      <c r="G16" s="2" t="s">
        <v>49</v>
      </c>
      <c r="J16" s="2" t="s">
        <v>50</v>
      </c>
      <c r="K16" s="2" t="s">
        <v>49</v>
      </c>
      <c r="L16" s="2" t="s">
        <v>48</v>
      </c>
      <c r="M16" s="2" t="s">
        <v>182</v>
      </c>
      <c r="N16" s="2" t="s">
        <v>230</v>
      </c>
      <c r="O16" s="2" t="s">
        <v>231</v>
      </c>
      <c r="P16" s="2" t="s">
        <v>356</v>
      </c>
    </row>
    <row r="17" spans="1:17" x14ac:dyDescent="0.25">
      <c r="A17" s="3">
        <v>16</v>
      </c>
      <c r="B17" s="2" t="s">
        <v>51</v>
      </c>
      <c r="C17" s="3" t="s">
        <v>154</v>
      </c>
      <c r="D17" s="2" t="s">
        <v>52</v>
      </c>
      <c r="G17" s="2" t="s">
        <v>53</v>
      </c>
      <c r="J17" s="2" t="s">
        <v>24</v>
      </c>
      <c r="K17" s="2" t="s">
        <v>53</v>
      </c>
      <c r="L17" s="2" t="s">
        <v>52</v>
      </c>
      <c r="M17" s="2" t="s">
        <v>183</v>
      </c>
      <c r="N17" s="2" t="s">
        <v>232</v>
      </c>
      <c r="O17" s="2" t="s">
        <v>233</v>
      </c>
      <c r="P17" s="2" t="s">
        <v>357</v>
      </c>
    </row>
    <row r="18" spans="1:17" x14ac:dyDescent="0.25">
      <c r="A18" s="3">
        <v>17</v>
      </c>
      <c r="B18" s="2" t="s">
        <v>54</v>
      </c>
      <c r="C18" s="3" t="s">
        <v>154</v>
      </c>
      <c r="D18" s="2" t="s">
        <v>38</v>
      </c>
      <c r="G18" s="2" t="s">
        <v>33</v>
      </c>
      <c r="J18" s="2" t="s">
        <v>9</v>
      </c>
      <c r="K18" s="2" t="s">
        <v>33</v>
      </c>
      <c r="L18" s="2" t="s">
        <v>38</v>
      </c>
      <c r="M18" s="2" t="s">
        <v>184</v>
      </c>
      <c r="N18" s="2" t="s">
        <v>234</v>
      </c>
      <c r="O18" s="2" t="s">
        <v>235</v>
      </c>
      <c r="P18" s="2" t="s">
        <v>358</v>
      </c>
    </row>
    <row r="19" spans="1:17" x14ac:dyDescent="0.25">
      <c r="A19" s="3">
        <v>18</v>
      </c>
      <c r="B19" s="3" t="s">
        <v>55</v>
      </c>
      <c r="C19" s="3" t="s">
        <v>154</v>
      </c>
      <c r="D19" s="2" t="s">
        <v>56</v>
      </c>
      <c r="E19" s="2" t="s">
        <v>17</v>
      </c>
      <c r="G19" s="2" t="s">
        <v>12</v>
      </c>
      <c r="H19" s="2" t="s">
        <v>18</v>
      </c>
      <c r="J19" s="2" t="s">
        <v>9</v>
      </c>
      <c r="K19" s="2" t="s">
        <v>57</v>
      </c>
      <c r="L19" s="2" t="s">
        <v>165</v>
      </c>
      <c r="M19" s="2" t="s">
        <v>185</v>
      </c>
      <c r="N19" s="2" t="s">
        <v>236</v>
      </c>
      <c r="O19" s="2" t="s">
        <v>237</v>
      </c>
      <c r="P19" s="2" t="s">
        <v>359</v>
      </c>
      <c r="Q19" s="16" t="s">
        <v>454</v>
      </c>
    </row>
    <row r="20" spans="1:17" x14ac:dyDescent="0.25">
      <c r="A20" s="3">
        <v>19</v>
      </c>
      <c r="B20" s="2" t="s">
        <v>58</v>
      </c>
      <c r="C20" s="3" t="s">
        <v>154</v>
      </c>
      <c r="D20" s="2" t="s">
        <v>17</v>
      </c>
      <c r="G20" s="2" t="s">
        <v>18</v>
      </c>
      <c r="J20" s="2" t="s">
        <v>9</v>
      </c>
      <c r="K20" s="2" t="s">
        <v>18</v>
      </c>
      <c r="L20" s="2" t="s">
        <v>17</v>
      </c>
      <c r="M20" s="2" t="s">
        <v>175</v>
      </c>
      <c r="N20" s="2" t="s">
        <v>238</v>
      </c>
      <c r="O20" s="2" t="s">
        <v>239</v>
      </c>
      <c r="P20" s="2" t="s">
        <v>360</v>
      </c>
    </row>
    <row r="21" spans="1:17" x14ac:dyDescent="0.25">
      <c r="A21" s="3">
        <v>20</v>
      </c>
      <c r="B21" s="2" t="s">
        <v>492</v>
      </c>
      <c r="C21" s="3" t="s">
        <v>154</v>
      </c>
      <c r="D21" s="2" t="s">
        <v>30</v>
      </c>
      <c r="G21" s="2" t="s">
        <v>33</v>
      </c>
      <c r="J21" s="2" t="s">
        <v>9</v>
      </c>
      <c r="K21" s="2" t="s">
        <v>33</v>
      </c>
      <c r="L21" s="2" t="s">
        <v>30</v>
      </c>
      <c r="M21" s="2" t="s">
        <v>207</v>
      </c>
      <c r="N21" s="2" t="s">
        <v>493</v>
      </c>
      <c r="O21" s="2" t="s">
        <v>494</v>
      </c>
      <c r="P21" s="2" t="s">
        <v>495</v>
      </c>
      <c r="Q21" s="2" t="s">
        <v>492</v>
      </c>
    </row>
    <row r="22" spans="1:17" x14ac:dyDescent="0.25">
      <c r="A22" s="3">
        <v>21</v>
      </c>
      <c r="B22" s="2" t="s">
        <v>59</v>
      </c>
      <c r="C22" s="3" t="s">
        <v>154</v>
      </c>
      <c r="D22" s="3" t="s">
        <v>14</v>
      </c>
      <c r="G22" s="2" t="s">
        <v>15</v>
      </c>
      <c r="J22" s="2" t="s">
        <v>9</v>
      </c>
      <c r="K22" s="2" t="s">
        <v>15</v>
      </c>
      <c r="L22" s="2" t="s">
        <v>14</v>
      </c>
      <c r="M22" s="2" t="s">
        <v>173</v>
      </c>
      <c r="N22" s="2" t="s">
        <v>240</v>
      </c>
      <c r="O22" s="2" t="s">
        <v>241</v>
      </c>
      <c r="P22" s="2" t="s">
        <v>361</v>
      </c>
    </row>
    <row r="23" spans="1:17" x14ac:dyDescent="0.25">
      <c r="A23" s="3">
        <v>22</v>
      </c>
      <c r="B23" s="2" t="s">
        <v>60</v>
      </c>
      <c r="C23" s="3" t="s">
        <v>154</v>
      </c>
      <c r="D23" s="2" t="s">
        <v>38</v>
      </c>
      <c r="E23" s="2" t="s">
        <v>61</v>
      </c>
      <c r="F23" s="2" t="s">
        <v>29</v>
      </c>
      <c r="G23" s="2" t="s">
        <v>40</v>
      </c>
      <c r="H23" s="2" t="s">
        <v>62</v>
      </c>
      <c r="I23" s="2" t="s">
        <v>32</v>
      </c>
      <c r="J23" s="2" t="s">
        <v>64</v>
      </c>
      <c r="K23" s="2" t="s">
        <v>63</v>
      </c>
      <c r="L23" s="2" t="s">
        <v>166</v>
      </c>
      <c r="M23" s="2" t="s">
        <v>186</v>
      </c>
      <c r="N23" s="2" t="s">
        <v>242</v>
      </c>
      <c r="O23" s="2" t="s">
        <v>243</v>
      </c>
      <c r="P23" s="2" t="s">
        <v>362</v>
      </c>
    </row>
    <row r="24" spans="1:17" x14ac:dyDescent="0.25">
      <c r="A24" s="3">
        <v>23</v>
      </c>
      <c r="B24" s="3" t="s">
        <v>65</v>
      </c>
      <c r="C24" s="3" t="s">
        <v>154</v>
      </c>
      <c r="D24" s="2" t="s">
        <v>17</v>
      </c>
      <c r="G24" s="2" t="s">
        <v>18</v>
      </c>
      <c r="J24" s="2" t="s">
        <v>9</v>
      </c>
      <c r="K24" s="2" t="s">
        <v>18</v>
      </c>
      <c r="L24" s="2" t="s">
        <v>17</v>
      </c>
      <c r="M24" s="2" t="s">
        <v>175</v>
      </c>
      <c r="N24" s="2" t="s">
        <v>244</v>
      </c>
      <c r="O24" s="2" t="s">
        <v>245</v>
      </c>
      <c r="P24" s="2" t="s">
        <v>363</v>
      </c>
    </row>
    <row r="25" spans="1:17" x14ac:dyDescent="0.25">
      <c r="A25" s="3">
        <v>24</v>
      </c>
      <c r="B25" s="2" t="s">
        <v>66</v>
      </c>
      <c r="C25" s="3" t="s">
        <v>154</v>
      </c>
      <c r="D25" s="2" t="s">
        <v>29</v>
      </c>
      <c r="E25" s="2" t="s">
        <v>38</v>
      </c>
      <c r="G25" s="2" t="s">
        <v>32</v>
      </c>
      <c r="H25" s="2" t="s">
        <v>33</v>
      </c>
      <c r="J25" s="2" t="s">
        <v>35</v>
      </c>
      <c r="K25" s="2" t="s">
        <v>67</v>
      </c>
      <c r="L25" s="2" t="s">
        <v>167</v>
      </c>
      <c r="M25" s="2" t="s">
        <v>187</v>
      </c>
      <c r="N25" s="2" t="s">
        <v>246</v>
      </c>
      <c r="O25" s="2" t="s">
        <v>247</v>
      </c>
      <c r="P25" s="2" t="s">
        <v>364</v>
      </c>
    </row>
    <row r="26" spans="1:17" x14ac:dyDescent="0.25">
      <c r="A26" s="3">
        <v>25</v>
      </c>
      <c r="B26" s="3" t="s">
        <v>68</v>
      </c>
      <c r="C26" s="3" t="s">
        <v>340</v>
      </c>
      <c r="D26" s="3" t="s">
        <v>68</v>
      </c>
      <c r="G26" s="2" t="s">
        <v>69</v>
      </c>
      <c r="J26" s="2" t="s">
        <v>24</v>
      </c>
      <c r="K26" s="2" t="s">
        <v>69</v>
      </c>
      <c r="L26" s="2" t="s">
        <v>68</v>
      </c>
      <c r="M26" s="2" t="s">
        <v>188</v>
      </c>
      <c r="N26" s="2" t="s">
        <v>188</v>
      </c>
      <c r="O26" s="2" t="s">
        <v>188</v>
      </c>
      <c r="P26" s="2" t="s">
        <v>374</v>
      </c>
      <c r="Q26" s="15" t="s">
        <v>455</v>
      </c>
    </row>
    <row r="27" spans="1:17" x14ac:dyDescent="0.25">
      <c r="A27" s="3">
        <v>26</v>
      </c>
      <c r="B27" s="3" t="s">
        <v>463</v>
      </c>
      <c r="C27" s="3" t="s">
        <v>340</v>
      </c>
      <c r="D27" s="3" t="s">
        <v>68</v>
      </c>
      <c r="G27" s="2" t="s">
        <v>69</v>
      </c>
      <c r="J27" s="2" t="s">
        <v>24</v>
      </c>
      <c r="K27" s="2" t="s">
        <v>69</v>
      </c>
      <c r="L27" s="2" t="s">
        <v>68</v>
      </c>
      <c r="M27" s="2" t="s">
        <v>188</v>
      </c>
      <c r="N27" s="2" t="s">
        <v>188</v>
      </c>
      <c r="O27" s="2" t="s">
        <v>188</v>
      </c>
      <c r="P27" s="2" t="s">
        <v>374</v>
      </c>
      <c r="Q27" s="16" t="s">
        <v>463</v>
      </c>
    </row>
    <row r="28" spans="1:17" x14ac:dyDescent="0.25">
      <c r="A28" s="3">
        <v>27</v>
      </c>
      <c r="B28" s="2" t="s">
        <v>70</v>
      </c>
      <c r="C28" s="3" t="s">
        <v>340</v>
      </c>
      <c r="D28" s="2" t="s">
        <v>70</v>
      </c>
      <c r="G28" s="2" t="s">
        <v>71</v>
      </c>
      <c r="J28" s="2" t="s">
        <v>50</v>
      </c>
      <c r="K28" s="2" t="s">
        <v>71</v>
      </c>
      <c r="L28" s="2" t="s">
        <v>70</v>
      </c>
      <c r="M28" s="2" t="s">
        <v>189</v>
      </c>
      <c r="N28" s="2" t="s">
        <v>189</v>
      </c>
      <c r="O28" s="2" t="s">
        <v>189</v>
      </c>
      <c r="P28" s="2" t="s">
        <v>375</v>
      </c>
    </row>
    <row r="29" spans="1:17" x14ac:dyDescent="0.25">
      <c r="A29" s="3">
        <v>28</v>
      </c>
      <c r="B29" s="2" t="s">
        <v>72</v>
      </c>
      <c r="C29" s="3" t="s">
        <v>154</v>
      </c>
      <c r="D29" s="2" t="s">
        <v>29</v>
      </c>
      <c r="E29" s="2" t="s">
        <v>38</v>
      </c>
      <c r="G29" s="2" t="s">
        <v>32</v>
      </c>
      <c r="H29" s="2" t="s">
        <v>33</v>
      </c>
      <c r="J29" s="2" t="s">
        <v>35</v>
      </c>
      <c r="K29" s="2" t="s">
        <v>67</v>
      </c>
      <c r="L29" s="2" t="s">
        <v>167</v>
      </c>
      <c r="M29" s="2" t="s">
        <v>187</v>
      </c>
      <c r="N29" s="2" t="s">
        <v>248</v>
      </c>
      <c r="O29" s="2" t="s">
        <v>249</v>
      </c>
      <c r="P29" s="2" t="s">
        <v>376</v>
      </c>
    </row>
    <row r="30" spans="1:17" x14ac:dyDescent="0.25">
      <c r="A30" s="3">
        <v>29</v>
      </c>
      <c r="B30" s="3" t="s">
        <v>45</v>
      </c>
      <c r="C30" s="3" t="s">
        <v>340</v>
      </c>
      <c r="D30" s="3" t="s">
        <v>45</v>
      </c>
      <c r="G30" s="2" t="s">
        <v>46</v>
      </c>
      <c r="J30" s="2" t="s">
        <v>9</v>
      </c>
      <c r="K30" s="2" t="s">
        <v>46</v>
      </c>
      <c r="L30" s="2" t="s">
        <v>45</v>
      </c>
      <c r="M30" s="2" t="s">
        <v>181</v>
      </c>
      <c r="N30" s="2" t="s">
        <v>181</v>
      </c>
      <c r="O30" s="2" t="s">
        <v>181</v>
      </c>
      <c r="P30" s="2" t="s">
        <v>377</v>
      </c>
    </row>
    <row r="31" spans="1:17" x14ac:dyDescent="0.25">
      <c r="A31" s="3">
        <v>30</v>
      </c>
      <c r="B31" s="3" t="s">
        <v>73</v>
      </c>
      <c r="C31" s="3" t="s">
        <v>154</v>
      </c>
      <c r="D31" s="2" t="s">
        <v>56</v>
      </c>
      <c r="E31" s="2" t="s">
        <v>17</v>
      </c>
      <c r="G31" s="2" t="s">
        <v>12</v>
      </c>
      <c r="H31" s="2" t="s">
        <v>18</v>
      </c>
      <c r="J31" s="2" t="s">
        <v>9</v>
      </c>
      <c r="K31" s="2" t="s">
        <v>57</v>
      </c>
      <c r="L31" s="2" t="s">
        <v>165</v>
      </c>
      <c r="M31" s="2" t="s">
        <v>185</v>
      </c>
      <c r="N31" s="2" t="s">
        <v>250</v>
      </c>
      <c r="O31" s="2" t="s">
        <v>251</v>
      </c>
      <c r="P31" s="2" t="s">
        <v>378</v>
      </c>
    </row>
    <row r="32" spans="1:17" x14ac:dyDescent="0.25">
      <c r="A32" s="3">
        <v>31</v>
      </c>
      <c r="B32" s="2" t="s">
        <v>74</v>
      </c>
      <c r="C32" s="3" t="s">
        <v>154</v>
      </c>
      <c r="D32" s="2" t="s">
        <v>29</v>
      </c>
      <c r="E32" s="2" t="s">
        <v>38</v>
      </c>
      <c r="G32" s="2" t="s">
        <v>32</v>
      </c>
      <c r="H32" s="2" t="s">
        <v>33</v>
      </c>
      <c r="J32" s="2" t="s">
        <v>35</v>
      </c>
      <c r="K32" s="2" t="s">
        <v>67</v>
      </c>
      <c r="L32" s="2" t="s">
        <v>167</v>
      </c>
      <c r="M32" s="2" t="s">
        <v>187</v>
      </c>
      <c r="N32" s="2" t="s">
        <v>252</v>
      </c>
      <c r="O32" s="2" t="s">
        <v>253</v>
      </c>
      <c r="P32" s="2" t="s">
        <v>379</v>
      </c>
    </row>
    <row r="33" spans="1:17" x14ac:dyDescent="0.25">
      <c r="A33" s="3">
        <v>32</v>
      </c>
      <c r="B33" s="2" t="s">
        <v>75</v>
      </c>
      <c r="C33" s="3" t="s">
        <v>340</v>
      </c>
      <c r="D33" s="2" t="s">
        <v>75</v>
      </c>
      <c r="G33" s="2" t="s">
        <v>76</v>
      </c>
      <c r="J33" s="2" t="s">
        <v>43</v>
      </c>
      <c r="K33" s="2" t="s">
        <v>76</v>
      </c>
      <c r="L33" s="2" t="s">
        <v>75</v>
      </c>
      <c r="M33" s="2" t="s">
        <v>190</v>
      </c>
      <c r="N33" s="2" t="s">
        <v>190</v>
      </c>
      <c r="O33" s="2" t="s">
        <v>190</v>
      </c>
      <c r="P33" s="2" t="s">
        <v>380</v>
      </c>
      <c r="Q33" s="17" t="s">
        <v>456</v>
      </c>
    </row>
    <row r="34" spans="1:17" x14ac:dyDescent="0.25">
      <c r="A34" s="3">
        <v>33</v>
      </c>
      <c r="B34" s="2" t="s">
        <v>77</v>
      </c>
      <c r="C34" s="3" t="s">
        <v>340</v>
      </c>
      <c r="D34" s="2" t="s">
        <v>77</v>
      </c>
      <c r="G34" s="2" t="s">
        <v>78</v>
      </c>
      <c r="J34" s="2" t="s">
        <v>50</v>
      </c>
      <c r="K34" s="2" t="s">
        <v>78</v>
      </c>
      <c r="L34" s="2" t="s">
        <v>77</v>
      </c>
      <c r="M34" s="2" t="s">
        <v>191</v>
      </c>
      <c r="N34" s="2" t="s">
        <v>191</v>
      </c>
      <c r="O34" s="2" t="s">
        <v>191</v>
      </c>
      <c r="P34" s="2" t="s">
        <v>365</v>
      </c>
    </row>
    <row r="35" spans="1:17" x14ac:dyDescent="0.25">
      <c r="A35" s="3">
        <v>34</v>
      </c>
      <c r="B35" s="3" t="s">
        <v>79</v>
      </c>
      <c r="C35" s="3" t="s">
        <v>154</v>
      </c>
      <c r="D35" s="3" t="s">
        <v>14</v>
      </c>
      <c r="G35" s="2" t="s">
        <v>15</v>
      </c>
      <c r="J35" s="2" t="s">
        <v>9</v>
      </c>
      <c r="K35" s="2" t="s">
        <v>15</v>
      </c>
      <c r="L35" s="2" t="s">
        <v>14</v>
      </c>
      <c r="M35" s="2" t="s">
        <v>173</v>
      </c>
      <c r="N35" s="2" t="s">
        <v>254</v>
      </c>
      <c r="O35" s="2" t="s">
        <v>255</v>
      </c>
      <c r="P35" s="2" t="s">
        <v>381</v>
      </c>
    </row>
    <row r="36" spans="1:17" x14ac:dyDescent="0.25">
      <c r="A36" s="3">
        <v>35</v>
      </c>
      <c r="B36" s="2" t="s">
        <v>80</v>
      </c>
      <c r="C36" s="3" t="s">
        <v>154</v>
      </c>
      <c r="D36" s="2" t="s">
        <v>17</v>
      </c>
      <c r="G36" s="2" t="s">
        <v>18</v>
      </c>
      <c r="J36" s="2" t="s">
        <v>9</v>
      </c>
      <c r="K36" s="2" t="s">
        <v>18</v>
      </c>
      <c r="L36" s="2" t="s">
        <v>17</v>
      </c>
      <c r="M36" s="2" t="s">
        <v>175</v>
      </c>
      <c r="N36" s="2" t="s">
        <v>256</v>
      </c>
      <c r="O36" s="2" t="s">
        <v>257</v>
      </c>
      <c r="P36" s="2" t="s">
        <v>382</v>
      </c>
    </row>
    <row r="37" spans="1:17" x14ac:dyDescent="0.25">
      <c r="A37" s="3">
        <v>36</v>
      </c>
      <c r="B37" s="3" t="s">
        <v>81</v>
      </c>
      <c r="C37" s="3" t="s">
        <v>154</v>
      </c>
      <c r="D37" s="2" t="s">
        <v>7</v>
      </c>
      <c r="G37" s="2" t="s">
        <v>8</v>
      </c>
      <c r="J37" s="2" t="s">
        <v>9</v>
      </c>
      <c r="K37" s="2" t="s">
        <v>8</v>
      </c>
      <c r="L37" s="2" t="s">
        <v>7</v>
      </c>
      <c r="M37" s="2" t="s">
        <v>171</v>
      </c>
      <c r="N37" s="2" t="s">
        <v>258</v>
      </c>
      <c r="O37" s="2" t="s">
        <v>259</v>
      </c>
      <c r="P37" s="2" t="s">
        <v>383</v>
      </c>
    </row>
    <row r="38" spans="1:17" x14ac:dyDescent="0.25">
      <c r="A38" s="3">
        <v>37</v>
      </c>
      <c r="B38" s="3" t="s">
        <v>56</v>
      </c>
      <c r="C38" s="3" t="s">
        <v>340</v>
      </c>
      <c r="D38" s="3" t="s">
        <v>56</v>
      </c>
      <c r="G38" s="2" t="s">
        <v>12</v>
      </c>
      <c r="J38" s="2" t="s">
        <v>9</v>
      </c>
      <c r="K38" s="2" t="s">
        <v>12</v>
      </c>
      <c r="L38" s="2" t="s">
        <v>56</v>
      </c>
      <c r="M38" s="2" t="s">
        <v>192</v>
      </c>
      <c r="N38" s="2" t="s">
        <v>192</v>
      </c>
      <c r="O38" s="2" t="s">
        <v>192</v>
      </c>
      <c r="P38" s="2" t="s">
        <v>384</v>
      </c>
      <c r="Q38" s="15" t="s">
        <v>458</v>
      </c>
    </row>
    <row r="39" spans="1:17" x14ac:dyDescent="0.25">
      <c r="A39" s="3">
        <v>38</v>
      </c>
      <c r="B39" s="2" t="s">
        <v>82</v>
      </c>
      <c r="C39" s="3" t="s">
        <v>154</v>
      </c>
      <c r="D39" s="3" t="s">
        <v>56</v>
      </c>
      <c r="E39" s="2" t="s">
        <v>17</v>
      </c>
      <c r="F39" s="2" t="s">
        <v>48</v>
      </c>
      <c r="G39" s="2" t="s">
        <v>12</v>
      </c>
      <c r="H39" s="2" t="s">
        <v>18</v>
      </c>
      <c r="I39" s="2" t="s">
        <v>49</v>
      </c>
      <c r="J39" s="2" t="s">
        <v>9</v>
      </c>
      <c r="K39" s="2" t="s">
        <v>83</v>
      </c>
      <c r="L39" s="2" t="s">
        <v>168</v>
      </c>
      <c r="M39" s="2" t="s">
        <v>193</v>
      </c>
      <c r="N39" s="2" t="s">
        <v>260</v>
      </c>
      <c r="O39" s="2" t="s">
        <v>261</v>
      </c>
      <c r="P39" s="2" t="s">
        <v>385</v>
      </c>
    </row>
    <row r="40" spans="1:17" x14ac:dyDescent="0.25">
      <c r="A40" s="3">
        <v>39</v>
      </c>
      <c r="B40" s="2" t="s">
        <v>84</v>
      </c>
      <c r="C40" s="3" t="s">
        <v>154</v>
      </c>
      <c r="D40" s="3" t="s">
        <v>56</v>
      </c>
      <c r="G40" s="2" t="s">
        <v>12</v>
      </c>
      <c r="J40" s="2" t="s">
        <v>9</v>
      </c>
      <c r="K40" s="2" t="s">
        <v>12</v>
      </c>
      <c r="L40" s="2" t="s">
        <v>56</v>
      </c>
      <c r="M40" s="2" t="s">
        <v>192</v>
      </c>
      <c r="N40" s="2" t="s">
        <v>262</v>
      </c>
      <c r="O40" s="2" t="s">
        <v>263</v>
      </c>
      <c r="P40" s="2" t="s">
        <v>386</v>
      </c>
    </row>
    <row r="41" spans="1:17" x14ac:dyDescent="0.25">
      <c r="A41" s="3">
        <v>40</v>
      </c>
      <c r="B41" s="2" t="s">
        <v>85</v>
      </c>
      <c r="C41" s="3" t="s">
        <v>154</v>
      </c>
      <c r="D41" s="3" t="s">
        <v>56</v>
      </c>
      <c r="E41" s="2" t="s">
        <v>17</v>
      </c>
      <c r="G41" s="2" t="s">
        <v>12</v>
      </c>
      <c r="H41" s="2" t="s">
        <v>18</v>
      </c>
      <c r="J41" s="2" t="s">
        <v>9</v>
      </c>
      <c r="K41" s="2" t="s">
        <v>57</v>
      </c>
      <c r="L41" s="2" t="s">
        <v>165</v>
      </c>
      <c r="M41" s="2" t="s">
        <v>185</v>
      </c>
      <c r="N41" s="2" t="s">
        <v>264</v>
      </c>
      <c r="O41" s="2" t="s">
        <v>265</v>
      </c>
      <c r="P41" s="2" t="s">
        <v>387</v>
      </c>
    </row>
    <row r="42" spans="1:17" x14ac:dyDescent="0.25">
      <c r="A42" s="3">
        <v>41</v>
      </c>
      <c r="B42" s="3" t="s">
        <v>86</v>
      </c>
      <c r="C42" s="3" t="s">
        <v>154</v>
      </c>
      <c r="D42" s="2" t="s">
        <v>87</v>
      </c>
      <c r="G42" s="2" t="s">
        <v>88</v>
      </c>
      <c r="J42" s="2" t="s">
        <v>24</v>
      </c>
      <c r="K42" s="2" t="s">
        <v>88</v>
      </c>
      <c r="L42" s="2" t="s">
        <v>87</v>
      </c>
      <c r="M42" s="2" t="s">
        <v>194</v>
      </c>
      <c r="N42" s="2" t="s">
        <v>266</v>
      </c>
      <c r="O42" s="2" t="s">
        <v>267</v>
      </c>
      <c r="P42" s="2" t="s">
        <v>388</v>
      </c>
    </row>
    <row r="43" spans="1:17" x14ac:dyDescent="0.25">
      <c r="A43" s="3">
        <v>42</v>
      </c>
      <c r="B43" s="2" t="s">
        <v>89</v>
      </c>
      <c r="C43" s="3" t="s">
        <v>340</v>
      </c>
      <c r="D43" s="2" t="s">
        <v>89</v>
      </c>
      <c r="G43" s="2" t="s">
        <v>90</v>
      </c>
      <c r="J43" s="2" t="s">
        <v>24</v>
      </c>
      <c r="K43" s="2" t="s">
        <v>90</v>
      </c>
      <c r="L43" s="2" t="s">
        <v>89</v>
      </c>
      <c r="M43" s="2" t="s">
        <v>195</v>
      </c>
      <c r="N43" s="2" t="s">
        <v>195</v>
      </c>
      <c r="O43" s="2" t="s">
        <v>195</v>
      </c>
      <c r="P43" s="2" t="s">
        <v>389</v>
      </c>
      <c r="Q43" s="16" t="s">
        <v>459</v>
      </c>
    </row>
    <row r="44" spans="1:17" x14ac:dyDescent="0.25">
      <c r="A44" s="3">
        <v>43</v>
      </c>
      <c r="B44" s="3" t="s">
        <v>91</v>
      </c>
      <c r="C44" s="3" t="s">
        <v>154</v>
      </c>
      <c r="D44" s="2" t="s">
        <v>92</v>
      </c>
      <c r="G44" s="2" t="s">
        <v>93</v>
      </c>
      <c r="J44" s="2" t="s">
        <v>50</v>
      </c>
      <c r="K44" s="2" t="s">
        <v>93</v>
      </c>
      <c r="L44" s="2" t="s">
        <v>92</v>
      </c>
      <c r="M44" s="2" t="s">
        <v>196</v>
      </c>
      <c r="N44" s="2" t="s">
        <v>268</v>
      </c>
      <c r="O44" s="2" t="s">
        <v>269</v>
      </c>
      <c r="P44" s="2" t="s">
        <v>390</v>
      </c>
    </row>
    <row r="45" spans="1:17" x14ac:dyDescent="0.25">
      <c r="A45" s="3">
        <v>44</v>
      </c>
      <c r="B45" s="2" t="s">
        <v>94</v>
      </c>
      <c r="C45" s="3" t="s">
        <v>154</v>
      </c>
      <c r="D45" s="2" t="s">
        <v>87</v>
      </c>
      <c r="G45" s="2" t="s">
        <v>88</v>
      </c>
      <c r="J45" s="2" t="s">
        <v>24</v>
      </c>
      <c r="K45" s="2" t="s">
        <v>88</v>
      </c>
      <c r="L45" s="2" t="s">
        <v>87</v>
      </c>
      <c r="M45" s="2" t="s">
        <v>194</v>
      </c>
      <c r="N45" s="2" t="s">
        <v>270</v>
      </c>
      <c r="O45" s="2" t="s">
        <v>271</v>
      </c>
      <c r="P45" s="2" t="s">
        <v>391</v>
      </c>
    </row>
    <row r="46" spans="1:17" x14ac:dyDescent="0.25">
      <c r="A46" s="3">
        <v>45</v>
      </c>
      <c r="B46" s="4" t="s">
        <v>95</v>
      </c>
      <c r="C46" s="3" t="s">
        <v>154</v>
      </c>
      <c r="D46" s="5" t="s">
        <v>96</v>
      </c>
      <c r="G46" s="6" t="s">
        <v>97</v>
      </c>
      <c r="J46" s="2" t="s">
        <v>43</v>
      </c>
      <c r="K46" s="6" t="s">
        <v>97</v>
      </c>
      <c r="L46" s="2" t="s">
        <v>96</v>
      </c>
      <c r="M46" s="2" t="s">
        <v>197</v>
      </c>
      <c r="N46" s="2" t="s">
        <v>272</v>
      </c>
      <c r="O46" s="2" t="s">
        <v>273</v>
      </c>
      <c r="P46" s="2" t="s">
        <v>392</v>
      </c>
    </row>
    <row r="47" spans="1:17" x14ac:dyDescent="0.25">
      <c r="A47" s="3">
        <v>46</v>
      </c>
      <c r="B47" s="2" t="s">
        <v>98</v>
      </c>
      <c r="C47" s="3" t="s">
        <v>340</v>
      </c>
      <c r="D47" s="2" t="s">
        <v>98</v>
      </c>
      <c r="G47" s="2" t="s">
        <v>99</v>
      </c>
      <c r="J47" s="2" t="s">
        <v>43</v>
      </c>
      <c r="K47" s="2" t="s">
        <v>99</v>
      </c>
      <c r="L47" s="2" t="s">
        <v>98</v>
      </c>
      <c r="M47" s="2" t="s">
        <v>198</v>
      </c>
      <c r="N47" s="2" t="s">
        <v>198</v>
      </c>
      <c r="O47" s="2" t="s">
        <v>198</v>
      </c>
      <c r="P47" s="2" t="s">
        <v>393</v>
      </c>
    </row>
    <row r="48" spans="1:17" x14ac:dyDescent="0.25">
      <c r="A48" s="3">
        <v>47</v>
      </c>
      <c r="B48" s="3" t="s">
        <v>100</v>
      </c>
      <c r="C48" s="3" t="s">
        <v>154</v>
      </c>
      <c r="D48" s="2" t="s">
        <v>101</v>
      </c>
      <c r="E48" s="2" t="s">
        <v>102</v>
      </c>
      <c r="G48" s="2" t="s">
        <v>103</v>
      </c>
      <c r="J48" s="2" t="s">
        <v>24</v>
      </c>
      <c r="K48" s="2" t="s">
        <v>103</v>
      </c>
      <c r="L48" s="2" t="s">
        <v>169</v>
      </c>
      <c r="M48" s="2" t="s">
        <v>199</v>
      </c>
      <c r="N48" s="2" t="s">
        <v>274</v>
      </c>
      <c r="O48" s="2" t="s">
        <v>275</v>
      </c>
      <c r="P48" s="2" t="s">
        <v>394</v>
      </c>
      <c r="Q48" s="16" t="s">
        <v>460</v>
      </c>
    </row>
    <row r="49" spans="1:17" x14ac:dyDescent="0.25">
      <c r="A49" s="3">
        <v>48</v>
      </c>
      <c r="B49" s="3" t="s">
        <v>489</v>
      </c>
      <c r="C49" s="3" t="s">
        <v>154</v>
      </c>
      <c r="D49" s="2" t="s">
        <v>101</v>
      </c>
      <c r="E49" s="2" t="s">
        <v>102</v>
      </c>
      <c r="G49" s="2" t="s">
        <v>103</v>
      </c>
      <c r="J49" s="2" t="s">
        <v>24</v>
      </c>
      <c r="K49" s="2" t="s">
        <v>103</v>
      </c>
      <c r="L49" s="2" t="s">
        <v>169</v>
      </c>
      <c r="M49" s="2" t="s">
        <v>199</v>
      </c>
      <c r="N49" s="2" t="s">
        <v>274</v>
      </c>
      <c r="O49" s="2" t="s">
        <v>275</v>
      </c>
      <c r="P49" s="2" t="s">
        <v>394</v>
      </c>
      <c r="Q49" s="16" t="s">
        <v>488</v>
      </c>
    </row>
    <row r="50" spans="1:17" x14ac:dyDescent="0.25">
      <c r="A50" s="3">
        <v>49</v>
      </c>
      <c r="B50" s="3" t="s">
        <v>462</v>
      </c>
      <c r="C50" s="3" t="s">
        <v>154</v>
      </c>
      <c r="D50" s="2" t="s">
        <v>101</v>
      </c>
      <c r="E50" s="2" t="s">
        <v>102</v>
      </c>
      <c r="G50" s="2" t="s">
        <v>103</v>
      </c>
      <c r="J50" s="2" t="s">
        <v>24</v>
      </c>
      <c r="K50" s="2" t="s">
        <v>103</v>
      </c>
      <c r="L50" s="2" t="s">
        <v>169</v>
      </c>
      <c r="M50" s="2" t="s">
        <v>199</v>
      </c>
      <c r="N50" s="2" t="s">
        <v>274</v>
      </c>
      <c r="O50" s="2" t="s">
        <v>275</v>
      </c>
      <c r="P50" s="2" t="s">
        <v>394</v>
      </c>
      <c r="Q50" s="16" t="s">
        <v>461</v>
      </c>
    </row>
    <row r="51" spans="1:17" x14ac:dyDescent="0.25">
      <c r="A51" s="3">
        <v>50</v>
      </c>
      <c r="B51" s="2" t="s">
        <v>104</v>
      </c>
      <c r="C51" s="3" t="s">
        <v>154</v>
      </c>
      <c r="D51" s="2" t="s">
        <v>101</v>
      </c>
      <c r="E51" s="2" t="s">
        <v>102</v>
      </c>
      <c r="G51" s="2" t="s">
        <v>103</v>
      </c>
      <c r="J51" s="2" t="s">
        <v>24</v>
      </c>
      <c r="K51" s="2" t="s">
        <v>103</v>
      </c>
      <c r="L51" s="2" t="s">
        <v>169</v>
      </c>
      <c r="M51" s="2" t="s">
        <v>199</v>
      </c>
      <c r="N51" s="2" t="s">
        <v>276</v>
      </c>
      <c r="O51" s="2" t="s">
        <v>277</v>
      </c>
      <c r="P51" s="2" t="s">
        <v>395</v>
      </c>
    </row>
    <row r="52" spans="1:17" x14ac:dyDescent="0.25">
      <c r="A52" s="3">
        <v>51</v>
      </c>
      <c r="B52" s="2" t="s">
        <v>105</v>
      </c>
      <c r="C52" s="3" t="s">
        <v>154</v>
      </c>
      <c r="D52" s="3" t="s">
        <v>68</v>
      </c>
      <c r="G52" s="2" t="s">
        <v>69</v>
      </c>
      <c r="J52" s="2" t="s">
        <v>24</v>
      </c>
      <c r="K52" s="2" t="s">
        <v>69</v>
      </c>
      <c r="L52" s="2" t="s">
        <v>68</v>
      </c>
      <c r="M52" s="2" t="s">
        <v>188</v>
      </c>
      <c r="N52" s="2" t="s">
        <v>278</v>
      </c>
      <c r="O52" s="2" t="s">
        <v>279</v>
      </c>
      <c r="P52" s="2" t="s">
        <v>396</v>
      </c>
    </row>
    <row r="53" spans="1:17" x14ac:dyDescent="0.25">
      <c r="A53" s="3">
        <v>52</v>
      </c>
      <c r="B53" s="3" t="s">
        <v>106</v>
      </c>
      <c r="C53" s="3" t="s">
        <v>154</v>
      </c>
      <c r="D53" s="2" t="s">
        <v>7</v>
      </c>
      <c r="E53" s="2" t="s">
        <v>17</v>
      </c>
      <c r="G53" s="2" t="s">
        <v>8</v>
      </c>
      <c r="H53" s="2" t="s">
        <v>18</v>
      </c>
      <c r="J53" s="2" t="s">
        <v>9</v>
      </c>
      <c r="K53" s="2" t="s">
        <v>19</v>
      </c>
      <c r="L53" s="2" t="s">
        <v>162</v>
      </c>
      <c r="M53" s="2" t="s">
        <v>174</v>
      </c>
      <c r="N53" s="2" t="s">
        <v>280</v>
      </c>
      <c r="O53" s="2" t="s">
        <v>281</v>
      </c>
      <c r="P53" s="2" t="s">
        <v>397</v>
      </c>
    </row>
    <row r="54" spans="1:17" x14ac:dyDescent="0.25">
      <c r="A54" s="3">
        <v>53</v>
      </c>
      <c r="B54" s="3" t="s">
        <v>107</v>
      </c>
      <c r="C54" s="3" t="s">
        <v>154</v>
      </c>
      <c r="D54" s="2" t="s">
        <v>56</v>
      </c>
      <c r="E54" s="2" t="s">
        <v>17</v>
      </c>
      <c r="G54" s="2" t="s">
        <v>12</v>
      </c>
      <c r="H54" s="2" t="s">
        <v>18</v>
      </c>
      <c r="J54" s="2" t="s">
        <v>9</v>
      </c>
      <c r="K54" s="2" t="s">
        <v>57</v>
      </c>
      <c r="L54" s="2" t="s">
        <v>165</v>
      </c>
      <c r="M54" s="2" t="s">
        <v>185</v>
      </c>
      <c r="N54" s="2" t="s">
        <v>282</v>
      </c>
      <c r="O54" s="2" t="s">
        <v>283</v>
      </c>
      <c r="P54" s="2" t="s">
        <v>398</v>
      </c>
    </row>
    <row r="55" spans="1:17" x14ac:dyDescent="0.25">
      <c r="A55" s="3">
        <v>54</v>
      </c>
      <c r="B55" s="2" t="s">
        <v>108</v>
      </c>
      <c r="C55" s="3" t="s">
        <v>154</v>
      </c>
      <c r="D55" s="2" t="s">
        <v>89</v>
      </c>
      <c r="G55" s="2" t="s">
        <v>90</v>
      </c>
      <c r="J55" s="2" t="s">
        <v>24</v>
      </c>
      <c r="K55" s="2" t="s">
        <v>90</v>
      </c>
      <c r="L55" s="2" t="s">
        <v>89</v>
      </c>
      <c r="M55" s="2" t="s">
        <v>195</v>
      </c>
      <c r="N55" s="2" t="s">
        <v>284</v>
      </c>
      <c r="O55" s="2" t="s">
        <v>285</v>
      </c>
      <c r="P55" s="2" t="s">
        <v>399</v>
      </c>
    </row>
    <row r="56" spans="1:17" x14ac:dyDescent="0.25">
      <c r="A56" s="3">
        <v>55</v>
      </c>
      <c r="B56" s="3" t="s">
        <v>17</v>
      </c>
      <c r="C56" s="3" t="s">
        <v>340</v>
      </c>
      <c r="D56" s="2" t="s">
        <v>17</v>
      </c>
      <c r="G56" s="2" t="s">
        <v>18</v>
      </c>
      <c r="J56" s="2" t="s">
        <v>9</v>
      </c>
      <c r="K56" s="2" t="s">
        <v>18</v>
      </c>
      <c r="L56" s="2" t="s">
        <v>17</v>
      </c>
      <c r="M56" s="2" t="s">
        <v>175</v>
      </c>
      <c r="N56" s="2" t="s">
        <v>175</v>
      </c>
      <c r="O56" s="2" t="s">
        <v>175</v>
      </c>
      <c r="P56" s="2" t="s">
        <v>400</v>
      </c>
      <c r="Q56" s="16" t="s">
        <v>464</v>
      </c>
    </row>
    <row r="57" spans="1:17" x14ac:dyDescent="0.25">
      <c r="A57" s="3">
        <v>56</v>
      </c>
      <c r="B57" s="3" t="s">
        <v>490</v>
      </c>
      <c r="C57" s="3" t="s">
        <v>340</v>
      </c>
      <c r="D57" s="2" t="s">
        <v>17</v>
      </c>
      <c r="G57" s="2" t="s">
        <v>18</v>
      </c>
      <c r="J57" s="2" t="s">
        <v>9</v>
      </c>
      <c r="K57" s="2" t="s">
        <v>18</v>
      </c>
      <c r="L57" s="2" t="s">
        <v>17</v>
      </c>
      <c r="M57" s="2" t="s">
        <v>175</v>
      </c>
      <c r="N57" s="2" t="s">
        <v>175</v>
      </c>
      <c r="O57" s="2" t="s">
        <v>175</v>
      </c>
      <c r="P57" s="2" t="s">
        <v>491</v>
      </c>
      <c r="Q57" s="16" t="s">
        <v>490</v>
      </c>
    </row>
    <row r="58" spans="1:17" x14ac:dyDescent="0.25">
      <c r="A58" s="3">
        <v>57</v>
      </c>
      <c r="B58" s="2" t="s">
        <v>109</v>
      </c>
      <c r="C58" s="3" t="s">
        <v>154</v>
      </c>
      <c r="D58" s="3" t="s">
        <v>56</v>
      </c>
      <c r="E58" s="2" t="s">
        <v>17</v>
      </c>
      <c r="G58" s="2" t="s">
        <v>12</v>
      </c>
      <c r="H58" s="2" t="s">
        <v>18</v>
      </c>
      <c r="J58" s="2" t="s">
        <v>9</v>
      </c>
      <c r="K58" s="2" t="s">
        <v>57</v>
      </c>
      <c r="L58" s="2" t="s">
        <v>165</v>
      </c>
      <c r="M58" s="2" t="s">
        <v>185</v>
      </c>
      <c r="N58" s="2" t="s">
        <v>286</v>
      </c>
      <c r="O58" s="2" t="s">
        <v>287</v>
      </c>
      <c r="P58" s="2" t="s">
        <v>366</v>
      </c>
    </row>
    <row r="59" spans="1:17" x14ac:dyDescent="0.25">
      <c r="A59" s="3">
        <v>58</v>
      </c>
      <c r="B59" s="2" t="s">
        <v>110</v>
      </c>
      <c r="C59" s="3" t="s">
        <v>154</v>
      </c>
      <c r="D59" s="2" t="s">
        <v>52</v>
      </c>
      <c r="G59" s="2" t="s">
        <v>53</v>
      </c>
      <c r="J59" s="2" t="s">
        <v>24</v>
      </c>
      <c r="K59" s="2" t="s">
        <v>53</v>
      </c>
      <c r="L59" s="2" t="s">
        <v>52</v>
      </c>
      <c r="M59" s="2" t="s">
        <v>183</v>
      </c>
      <c r="N59" s="2" t="s">
        <v>288</v>
      </c>
      <c r="O59" s="2" t="s">
        <v>289</v>
      </c>
      <c r="P59" s="2" t="s">
        <v>401</v>
      </c>
    </row>
    <row r="60" spans="1:17" x14ac:dyDescent="0.25">
      <c r="A60" s="3">
        <v>59</v>
      </c>
      <c r="B60" s="2" t="s">
        <v>101</v>
      </c>
      <c r="C60" s="3" t="s">
        <v>340</v>
      </c>
      <c r="D60" s="2" t="s">
        <v>101</v>
      </c>
      <c r="G60" s="2" t="s">
        <v>111</v>
      </c>
      <c r="J60" s="2" t="s">
        <v>24</v>
      </c>
      <c r="K60" s="2" t="s">
        <v>111</v>
      </c>
      <c r="L60" s="2" t="s">
        <v>101</v>
      </c>
      <c r="M60" s="2" t="s">
        <v>200</v>
      </c>
      <c r="N60" s="2" t="s">
        <v>200</v>
      </c>
      <c r="O60" s="2" t="s">
        <v>200</v>
      </c>
      <c r="P60" s="2" t="s">
        <v>402</v>
      </c>
      <c r="Q60" s="16" t="s">
        <v>487</v>
      </c>
    </row>
    <row r="61" spans="1:17" x14ac:dyDescent="0.25">
      <c r="A61" s="3">
        <v>60</v>
      </c>
      <c r="B61" s="2" t="s">
        <v>112</v>
      </c>
      <c r="C61" s="3" t="s">
        <v>340</v>
      </c>
      <c r="D61" s="2" t="s">
        <v>112</v>
      </c>
      <c r="G61" s="2" t="s">
        <v>113</v>
      </c>
      <c r="J61" s="2" t="s">
        <v>114</v>
      </c>
      <c r="K61" s="2" t="s">
        <v>113</v>
      </c>
      <c r="L61" s="2" t="s">
        <v>112</v>
      </c>
      <c r="M61" s="2" t="s">
        <v>201</v>
      </c>
      <c r="N61" s="2" t="s">
        <v>201</v>
      </c>
      <c r="O61" s="2" t="s">
        <v>201</v>
      </c>
      <c r="P61" s="2" t="s">
        <v>403</v>
      </c>
    </row>
    <row r="62" spans="1:17" x14ac:dyDescent="0.25">
      <c r="A62" s="3">
        <v>61</v>
      </c>
      <c r="B62" s="3" t="s">
        <v>48</v>
      </c>
      <c r="C62" s="3" t="s">
        <v>340</v>
      </c>
      <c r="D62" s="2" t="s">
        <v>48</v>
      </c>
      <c r="G62" s="2" t="s">
        <v>49</v>
      </c>
      <c r="J62" s="2" t="s">
        <v>50</v>
      </c>
      <c r="K62" s="2" t="s">
        <v>49</v>
      </c>
      <c r="L62" s="2" t="s">
        <v>48</v>
      </c>
      <c r="M62" s="2" t="s">
        <v>182</v>
      </c>
      <c r="N62" s="2" t="s">
        <v>182</v>
      </c>
      <c r="O62" s="2" t="s">
        <v>182</v>
      </c>
      <c r="P62" s="2" t="s">
        <v>404</v>
      </c>
      <c r="Q62" s="16" t="s">
        <v>465</v>
      </c>
    </row>
    <row r="63" spans="1:17" x14ac:dyDescent="0.25">
      <c r="A63" s="3">
        <v>62</v>
      </c>
      <c r="B63" s="3" t="s">
        <v>52</v>
      </c>
      <c r="C63" s="3" t="s">
        <v>340</v>
      </c>
      <c r="D63" s="2" t="s">
        <v>52</v>
      </c>
      <c r="G63" s="2" t="s">
        <v>53</v>
      </c>
      <c r="J63" s="2" t="s">
        <v>24</v>
      </c>
      <c r="K63" s="2" t="s">
        <v>53</v>
      </c>
      <c r="L63" s="2" t="s">
        <v>52</v>
      </c>
      <c r="M63" s="2" t="s">
        <v>183</v>
      </c>
      <c r="N63" s="2" t="s">
        <v>183</v>
      </c>
      <c r="O63" s="2" t="s">
        <v>183</v>
      </c>
      <c r="P63" s="2" t="s">
        <v>405</v>
      </c>
    </row>
    <row r="64" spans="1:17" x14ac:dyDescent="0.25">
      <c r="A64" s="3">
        <v>63</v>
      </c>
      <c r="B64" s="3" t="s">
        <v>115</v>
      </c>
      <c r="C64" s="3" t="s">
        <v>154</v>
      </c>
      <c r="D64" s="2" t="s">
        <v>116</v>
      </c>
      <c r="G64" s="2" t="s">
        <v>117</v>
      </c>
      <c r="J64" s="2" t="s">
        <v>9</v>
      </c>
      <c r="K64" s="2" t="s">
        <v>117</v>
      </c>
      <c r="L64" s="2" t="s">
        <v>116</v>
      </c>
      <c r="M64" s="2" t="s">
        <v>202</v>
      </c>
      <c r="N64" s="2" t="s">
        <v>290</v>
      </c>
      <c r="O64" s="2" t="s">
        <v>291</v>
      </c>
      <c r="P64" s="2" t="s">
        <v>406</v>
      </c>
    </row>
    <row r="65" spans="1:17" x14ac:dyDescent="0.25">
      <c r="A65" s="3">
        <v>64</v>
      </c>
      <c r="B65" s="3" t="s">
        <v>118</v>
      </c>
      <c r="C65" s="3" t="s">
        <v>154</v>
      </c>
      <c r="D65" s="2" t="s">
        <v>102</v>
      </c>
      <c r="G65" s="2" t="s">
        <v>119</v>
      </c>
      <c r="J65" s="2" t="s">
        <v>24</v>
      </c>
      <c r="K65" s="2" t="s">
        <v>119</v>
      </c>
      <c r="L65" s="2" t="s">
        <v>102</v>
      </c>
      <c r="M65" s="2" t="s">
        <v>203</v>
      </c>
      <c r="N65" s="2" t="s">
        <v>292</v>
      </c>
      <c r="O65" s="2" t="s">
        <v>293</v>
      </c>
      <c r="P65" s="2" t="s">
        <v>407</v>
      </c>
    </row>
    <row r="66" spans="1:17" x14ac:dyDescent="0.25">
      <c r="A66" s="3">
        <v>65</v>
      </c>
      <c r="B66" s="3" t="s">
        <v>120</v>
      </c>
      <c r="C66" s="3" t="s">
        <v>154</v>
      </c>
      <c r="D66" s="2" t="s">
        <v>7</v>
      </c>
      <c r="G66" s="2" t="s">
        <v>8</v>
      </c>
      <c r="J66" s="2" t="s">
        <v>9</v>
      </c>
      <c r="K66" s="2" t="s">
        <v>8</v>
      </c>
      <c r="L66" s="2" t="s">
        <v>7</v>
      </c>
      <c r="M66" s="2" t="s">
        <v>171</v>
      </c>
      <c r="N66" s="2" t="s">
        <v>294</v>
      </c>
      <c r="O66" s="2" t="s">
        <v>295</v>
      </c>
      <c r="P66" s="2" t="s">
        <v>408</v>
      </c>
    </row>
    <row r="67" spans="1:17" x14ac:dyDescent="0.25">
      <c r="A67" s="3">
        <v>66</v>
      </c>
      <c r="B67" s="3" t="s">
        <v>121</v>
      </c>
      <c r="C67" s="3" t="s">
        <v>154</v>
      </c>
      <c r="D67" s="3" t="s">
        <v>68</v>
      </c>
      <c r="G67" s="2" t="s">
        <v>69</v>
      </c>
      <c r="J67" s="2" t="s">
        <v>24</v>
      </c>
      <c r="K67" s="2" t="s">
        <v>69</v>
      </c>
      <c r="L67" s="2" t="s">
        <v>68</v>
      </c>
      <c r="M67" s="2" t="s">
        <v>188</v>
      </c>
      <c r="N67" s="2" t="s">
        <v>296</v>
      </c>
      <c r="O67" s="2" t="s">
        <v>297</v>
      </c>
      <c r="P67" s="2" t="s">
        <v>409</v>
      </c>
    </row>
    <row r="68" spans="1:17" x14ac:dyDescent="0.25">
      <c r="A68" s="3">
        <v>67</v>
      </c>
      <c r="B68" s="3" t="s">
        <v>96</v>
      </c>
      <c r="C68" s="3" t="s">
        <v>340</v>
      </c>
      <c r="D68" s="2" t="s">
        <v>96</v>
      </c>
      <c r="G68" s="2" t="s">
        <v>97</v>
      </c>
      <c r="J68" s="2" t="s">
        <v>43</v>
      </c>
      <c r="K68" s="2" t="s">
        <v>97</v>
      </c>
      <c r="L68" s="2" t="s">
        <v>96</v>
      </c>
      <c r="M68" s="2" t="s">
        <v>197</v>
      </c>
      <c r="N68" s="2" t="s">
        <v>197</v>
      </c>
      <c r="O68" s="2" t="s">
        <v>197</v>
      </c>
      <c r="P68" s="2" t="s">
        <v>410</v>
      </c>
      <c r="Q68" s="15" t="s">
        <v>466</v>
      </c>
    </row>
    <row r="69" spans="1:17" x14ac:dyDescent="0.25">
      <c r="A69" s="3">
        <v>68</v>
      </c>
      <c r="B69" s="3" t="s">
        <v>122</v>
      </c>
      <c r="C69" s="3" t="s">
        <v>154</v>
      </c>
      <c r="D69" s="3" t="s">
        <v>25</v>
      </c>
      <c r="G69" s="2" t="s">
        <v>26</v>
      </c>
      <c r="J69" s="2" t="s">
        <v>24</v>
      </c>
      <c r="K69" s="2" t="s">
        <v>26</v>
      </c>
      <c r="L69" s="2" t="s">
        <v>25</v>
      </c>
      <c r="M69" s="2" t="s">
        <v>177</v>
      </c>
      <c r="N69" s="2" t="s">
        <v>298</v>
      </c>
      <c r="O69" s="2" t="s">
        <v>299</v>
      </c>
      <c r="P69" s="2" t="s">
        <v>411</v>
      </c>
    </row>
    <row r="70" spans="1:17" x14ac:dyDescent="0.25">
      <c r="A70" s="3">
        <v>69</v>
      </c>
      <c r="B70" s="3" t="s">
        <v>123</v>
      </c>
      <c r="C70" s="3" t="s">
        <v>154</v>
      </c>
      <c r="D70" s="3" t="s">
        <v>28</v>
      </c>
      <c r="G70" s="2" t="s">
        <v>31</v>
      </c>
      <c r="J70" s="2" t="s">
        <v>50</v>
      </c>
      <c r="K70" s="2" t="s">
        <v>31</v>
      </c>
      <c r="L70" s="2" t="s">
        <v>28</v>
      </c>
      <c r="M70" s="2" t="s">
        <v>204</v>
      </c>
      <c r="N70" s="2" t="s">
        <v>300</v>
      </c>
      <c r="O70" s="2" t="s">
        <v>301</v>
      </c>
      <c r="P70" s="2" t="s">
        <v>412</v>
      </c>
    </row>
    <row r="71" spans="1:17" x14ac:dyDescent="0.25">
      <c r="A71" s="3">
        <v>70</v>
      </c>
      <c r="B71" s="3" t="s">
        <v>124</v>
      </c>
      <c r="C71" s="3" t="s">
        <v>154</v>
      </c>
      <c r="D71" s="2" t="s">
        <v>56</v>
      </c>
      <c r="G71" s="2" t="s">
        <v>12</v>
      </c>
      <c r="J71" s="2" t="s">
        <v>9</v>
      </c>
      <c r="K71" s="2" t="s">
        <v>12</v>
      </c>
      <c r="L71" s="2" t="s">
        <v>56</v>
      </c>
      <c r="M71" s="2" t="s">
        <v>192</v>
      </c>
      <c r="N71" s="2" t="s">
        <v>302</v>
      </c>
      <c r="O71" s="2" t="s">
        <v>303</v>
      </c>
      <c r="P71" s="2" t="s">
        <v>413</v>
      </c>
    </row>
    <row r="72" spans="1:17" x14ac:dyDescent="0.25">
      <c r="A72" s="3">
        <v>71</v>
      </c>
      <c r="B72" s="2" t="s">
        <v>125</v>
      </c>
      <c r="C72" s="3" t="s">
        <v>340</v>
      </c>
      <c r="D72" s="2" t="s">
        <v>125</v>
      </c>
      <c r="G72" s="2" t="s">
        <v>126</v>
      </c>
      <c r="J72" s="2" t="s">
        <v>50</v>
      </c>
      <c r="K72" s="2" t="s">
        <v>126</v>
      </c>
      <c r="L72" s="2" t="s">
        <v>125</v>
      </c>
      <c r="M72" s="2" t="s">
        <v>205</v>
      </c>
      <c r="N72" s="2" t="s">
        <v>205</v>
      </c>
      <c r="O72" s="2" t="s">
        <v>205</v>
      </c>
      <c r="P72" s="2" t="s">
        <v>414</v>
      </c>
    </row>
    <row r="73" spans="1:17" x14ac:dyDescent="0.25">
      <c r="A73" s="3">
        <v>72</v>
      </c>
      <c r="B73" s="3" t="s">
        <v>127</v>
      </c>
      <c r="C73" s="3" t="s">
        <v>154</v>
      </c>
      <c r="D73" s="2" t="s">
        <v>102</v>
      </c>
      <c r="G73" s="2" t="s">
        <v>119</v>
      </c>
      <c r="J73" s="2" t="s">
        <v>24</v>
      </c>
      <c r="K73" s="2" t="s">
        <v>119</v>
      </c>
      <c r="L73" s="2" t="s">
        <v>102</v>
      </c>
      <c r="M73" s="2" t="s">
        <v>203</v>
      </c>
      <c r="N73" s="2" t="s">
        <v>304</v>
      </c>
      <c r="O73" s="2" t="s">
        <v>305</v>
      </c>
      <c r="P73" s="2" t="s">
        <v>415</v>
      </c>
    </row>
    <row r="74" spans="1:17" x14ac:dyDescent="0.25">
      <c r="A74" s="3">
        <v>73</v>
      </c>
      <c r="B74" s="3" t="s">
        <v>102</v>
      </c>
      <c r="C74" s="3" t="s">
        <v>340</v>
      </c>
      <c r="D74" s="2" t="s">
        <v>102</v>
      </c>
      <c r="G74" s="2" t="s">
        <v>119</v>
      </c>
      <c r="J74" s="2" t="s">
        <v>24</v>
      </c>
      <c r="K74" s="2" t="s">
        <v>119</v>
      </c>
      <c r="L74" s="2" t="s">
        <v>102</v>
      </c>
      <c r="M74" s="2" t="s">
        <v>203</v>
      </c>
      <c r="N74" s="2" t="s">
        <v>203</v>
      </c>
      <c r="O74" s="2" t="s">
        <v>203</v>
      </c>
      <c r="P74" s="2" t="s">
        <v>416</v>
      </c>
      <c r="Q74" s="16" t="s">
        <v>468</v>
      </c>
    </row>
    <row r="75" spans="1:17" x14ac:dyDescent="0.25">
      <c r="A75" s="3">
        <v>74</v>
      </c>
      <c r="B75" s="2" t="s">
        <v>87</v>
      </c>
      <c r="C75" s="3" t="s">
        <v>340</v>
      </c>
      <c r="D75" s="2" t="s">
        <v>87</v>
      </c>
      <c r="G75" s="2" t="s">
        <v>88</v>
      </c>
      <c r="J75" s="2" t="s">
        <v>24</v>
      </c>
      <c r="K75" s="2" t="s">
        <v>88</v>
      </c>
      <c r="L75" s="2" t="s">
        <v>87</v>
      </c>
      <c r="M75" s="2" t="s">
        <v>194</v>
      </c>
      <c r="N75" s="2" t="s">
        <v>194</v>
      </c>
      <c r="O75" s="2" t="s">
        <v>194</v>
      </c>
      <c r="P75" s="2" t="s">
        <v>417</v>
      </c>
      <c r="Q75" s="16" t="s">
        <v>469</v>
      </c>
    </row>
    <row r="76" spans="1:17" x14ac:dyDescent="0.25">
      <c r="A76" s="3">
        <v>75</v>
      </c>
      <c r="B76" s="2" t="s">
        <v>128</v>
      </c>
      <c r="C76" s="3" t="s">
        <v>154</v>
      </c>
      <c r="D76" s="3" t="s">
        <v>25</v>
      </c>
      <c r="G76" s="2" t="s">
        <v>26</v>
      </c>
      <c r="J76" s="2" t="s">
        <v>24</v>
      </c>
      <c r="K76" s="2" t="s">
        <v>26</v>
      </c>
      <c r="L76" s="2" t="s">
        <v>25</v>
      </c>
      <c r="M76" s="2" t="s">
        <v>177</v>
      </c>
      <c r="N76" s="2" t="s">
        <v>306</v>
      </c>
      <c r="O76" s="2" t="s">
        <v>307</v>
      </c>
      <c r="P76" s="2" t="s">
        <v>418</v>
      </c>
    </row>
    <row r="77" spans="1:17" x14ac:dyDescent="0.25">
      <c r="A77" s="3">
        <v>76</v>
      </c>
      <c r="B77" s="3" t="s">
        <v>14</v>
      </c>
      <c r="C77" s="3" t="s">
        <v>340</v>
      </c>
      <c r="D77" s="3" t="s">
        <v>14</v>
      </c>
      <c r="G77" s="2" t="s">
        <v>15</v>
      </c>
      <c r="J77" s="2" t="s">
        <v>9</v>
      </c>
      <c r="K77" s="2" t="s">
        <v>15</v>
      </c>
      <c r="L77" s="2" t="s">
        <v>14</v>
      </c>
      <c r="M77" s="2" t="s">
        <v>173</v>
      </c>
      <c r="N77" s="2" t="s">
        <v>173</v>
      </c>
      <c r="O77" s="2" t="s">
        <v>173</v>
      </c>
      <c r="P77" s="2" t="s">
        <v>419</v>
      </c>
      <c r="Q77" s="16" t="s">
        <v>457</v>
      </c>
    </row>
    <row r="78" spans="1:17" x14ac:dyDescent="0.25">
      <c r="A78" s="3">
        <v>77</v>
      </c>
      <c r="B78" s="3" t="s">
        <v>471</v>
      </c>
      <c r="C78" s="3" t="s">
        <v>340</v>
      </c>
      <c r="D78" s="3" t="s">
        <v>14</v>
      </c>
      <c r="G78" s="2" t="s">
        <v>15</v>
      </c>
      <c r="J78" s="2" t="s">
        <v>9</v>
      </c>
      <c r="K78" s="2" t="s">
        <v>15</v>
      </c>
      <c r="L78" s="2" t="s">
        <v>14</v>
      </c>
      <c r="M78" s="2" t="s">
        <v>173</v>
      </c>
      <c r="N78" s="2" t="s">
        <v>173</v>
      </c>
      <c r="O78" s="2" t="s">
        <v>173</v>
      </c>
      <c r="P78" s="2" t="s">
        <v>419</v>
      </c>
      <c r="Q78" s="16" t="s">
        <v>471</v>
      </c>
    </row>
    <row r="79" spans="1:17" x14ac:dyDescent="0.25">
      <c r="A79" s="3">
        <v>78</v>
      </c>
      <c r="B79" s="3" t="s">
        <v>129</v>
      </c>
      <c r="C79" s="3" t="s">
        <v>154</v>
      </c>
      <c r="D79" s="3" t="s">
        <v>14</v>
      </c>
      <c r="G79" s="2" t="s">
        <v>15</v>
      </c>
      <c r="J79" s="2" t="s">
        <v>9</v>
      </c>
      <c r="K79" s="2" t="s">
        <v>15</v>
      </c>
      <c r="L79" s="2" t="s">
        <v>14</v>
      </c>
      <c r="M79" s="2" t="s">
        <v>173</v>
      </c>
      <c r="N79" s="2" t="s">
        <v>308</v>
      </c>
      <c r="O79" s="2" t="s">
        <v>309</v>
      </c>
      <c r="P79" s="2" t="s">
        <v>420</v>
      </c>
    </row>
    <row r="80" spans="1:17" x14ac:dyDescent="0.25">
      <c r="A80" s="3">
        <v>79</v>
      </c>
      <c r="B80" s="3" t="s">
        <v>130</v>
      </c>
      <c r="C80" s="3" t="s">
        <v>154</v>
      </c>
      <c r="D80" s="3" t="s">
        <v>28</v>
      </c>
      <c r="G80" s="2" t="s">
        <v>31</v>
      </c>
      <c r="J80" s="2" t="s">
        <v>50</v>
      </c>
      <c r="K80" s="2" t="s">
        <v>31</v>
      </c>
      <c r="L80" s="2" t="s">
        <v>28</v>
      </c>
      <c r="M80" s="2" t="s">
        <v>204</v>
      </c>
      <c r="N80" s="2" t="s">
        <v>310</v>
      </c>
      <c r="O80" s="2" t="s">
        <v>311</v>
      </c>
      <c r="P80" s="2" t="s">
        <v>421</v>
      </c>
    </row>
    <row r="81" spans="1:17" x14ac:dyDescent="0.25">
      <c r="A81" s="3">
        <v>80</v>
      </c>
      <c r="B81" s="3" t="s">
        <v>131</v>
      </c>
      <c r="C81" s="3" t="s">
        <v>154</v>
      </c>
      <c r="D81" s="3" t="s">
        <v>132</v>
      </c>
      <c r="G81" s="2" t="s">
        <v>133</v>
      </c>
      <c r="J81" s="2" t="s">
        <v>24</v>
      </c>
      <c r="K81" s="2" t="s">
        <v>133</v>
      </c>
      <c r="L81" s="2" t="s">
        <v>132</v>
      </c>
      <c r="M81" s="2" t="s">
        <v>206</v>
      </c>
      <c r="N81" s="2" t="s">
        <v>312</v>
      </c>
      <c r="O81" s="2" t="s">
        <v>313</v>
      </c>
      <c r="P81" s="2" t="s">
        <v>422</v>
      </c>
    </row>
    <row r="82" spans="1:17" x14ac:dyDescent="0.25">
      <c r="A82" s="3">
        <v>81</v>
      </c>
      <c r="B82" s="2" t="s">
        <v>134</v>
      </c>
      <c r="C82" s="3" t="s">
        <v>154</v>
      </c>
      <c r="D82" s="3" t="s">
        <v>30</v>
      </c>
      <c r="G82" s="2" t="s">
        <v>33</v>
      </c>
      <c r="J82" s="2" t="s">
        <v>9</v>
      </c>
      <c r="K82" s="2" t="s">
        <v>33</v>
      </c>
      <c r="L82" s="2" t="s">
        <v>30</v>
      </c>
      <c r="M82" s="2" t="s">
        <v>207</v>
      </c>
      <c r="N82" s="2" t="s">
        <v>314</v>
      </c>
      <c r="O82" s="2" t="s">
        <v>315</v>
      </c>
      <c r="P82" s="2" t="s">
        <v>423</v>
      </c>
    </row>
    <row r="83" spans="1:17" x14ac:dyDescent="0.25">
      <c r="A83" s="3">
        <v>82</v>
      </c>
      <c r="B83" s="2" t="s">
        <v>135</v>
      </c>
      <c r="C83" s="3" t="s">
        <v>154</v>
      </c>
      <c r="D83" s="3" t="s">
        <v>30</v>
      </c>
      <c r="G83" s="2" t="s">
        <v>33</v>
      </c>
      <c r="J83" s="2" t="s">
        <v>9</v>
      </c>
      <c r="K83" s="2" t="s">
        <v>33</v>
      </c>
      <c r="L83" s="2" t="s">
        <v>30</v>
      </c>
      <c r="M83" s="2" t="s">
        <v>207</v>
      </c>
      <c r="N83" s="2" t="s">
        <v>316</v>
      </c>
      <c r="O83" s="2" t="s">
        <v>317</v>
      </c>
      <c r="P83" s="2" t="s">
        <v>424</v>
      </c>
    </row>
    <row r="84" spans="1:17" x14ac:dyDescent="0.25">
      <c r="A84" s="3">
        <v>83</v>
      </c>
      <c r="B84" s="3" t="s">
        <v>30</v>
      </c>
      <c r="C84" s="3" t="s">
        <v>340</v>
      </c>
      <c r="D84" s="3" t="s">
        <v>30</v>
      </c>
      <c r="G84" s="2" t="s">
        <v>33</v>
      </c>
      <c r="J84" s="2" t="s">
        <v>9</v>
      </c>
      <c r="K84" s="2" t="s">
        <v>33</v>
      </c>
      <c r="L84" s="2" t="s">
        <v>30</v>
      </c>
      <c r="M84" s="2" t="s">
        <v>207</v>
      </c>
      <c r="N84" s="2" t="s">
        <v>207</v>
      </c>
      <c r="O84" s="2" t="s">
        <v>207</v>
      </c>
      <c r="P84" s="2" t="s">
        <v>425</v>
      </c>
      <c r="Q84" s="15" t="s">
        <v>486</v>
      </c>
    </row>
    <row r="85" spans="1:17" x14ac:dyDescent="0.25">
      <c r="A85" s="3">
        <v>84</v>
      </c>
      <c r="B85" s="2" t="s">
        <v>38</v>
      </c>
      <c r="C85" s="7" t="s">
        <v>340</v>
      </c>
      <c r="D85" s="2" t="s">
        <v>38</v>
      </c>
      <c r="G85" s="2" t="s">
        <v>40</v>
      </c>
      <c r="J85" s="2" t="s">
        <v>43</v>
      </c>
      <c r="K85" s="2" t="s">
        <v>40</v>
      </c>
      <c r="L85" s="2" t="s">
        <v>38</v>
      </c>
      <c r="M85" s="2" t="s">
        <v>212</v>
      </c>
      <c r="N85" s="2" t="s">
        <v>212</v>
      </c>
      <c r="O85" s="2" t="s">
        <v>212</v>
      </c>
      <c r="P85" s="2" t="s">
        <v>439</v>
      </c>
    </row>
    <row r="86" spans="1:17" x14ac:dyDescent="0.25">
      <c r="A86" s="3">
        <v>85</v>
      </c>
      <c r="B86" s="2" t="s">
        <v>136</v>
      </c>
      <c r="C86" s="3" t="s">
        <v>154</v>
      </c>
      <c r="D86" s="2" t="s">
        <v>75</v>
      </c>
      <c r="G86" s="2" t="s">
        <v>76</v>
      </c>
      <c r="J86" s="2" t="s">
        <v>43</v>
      </c>
      <c r="K86" s="2" t="s">
        <v>76</v>
      </c>
      <c r="L86" s="2" t="s">
        <v>75</v>
      </c>
      <c r="M86" s="2" t="s">
        <v>190</v>
      </c>
      <c r="N86" s="2" t="s">
        <v>318</v>
      </c>
      <c r="O86" s="2" t="s">
        <v>319</v>
      </c>
      <c r="P86" s="2" t="s">
        <v>426</v>
      </c>
    </row>
    <row r="87" spans="1:17" x14ac:dyDescent="0.25">
      <c r="A87" s="3">
        <v>86</v>
      </c>
      <c r="B87" s="2" t="s">
        <v>137</v>
      </c>
      <c r="C87" s="3" t="s">
        <v>154</v>
      </c>
      <c r="D87" s="3" t="s">
        <v>56</v>
      </c>
      <c r="G87" s="2" t="s">
        <v>12</v>
      </c>
      <c r="J87" s="2" t="s">
        <v>9</v>
      </c>
      <c r="K87" s="2" t="s">
        <v>12</v>
      </c>
      <c r="L87" s="2" t="s">
        <v>56</v>
      </c>
      <c r="M87" s="2" t="s">
        <v>192</v>
      </c>
      <c r="N87" s="2" t="s">
        <v>320</v>
      </c>
      <c r="O87" s="2" t="s">
        <v>321</v>
      </c>
      <c r="P87" s="2" t="s">
        <v>427</v>
      </c>
    </row>
    <row r="88" spans="1:17" x14ac:dyDescent="0.25">
      <c r="A88" s="3">
        <v>87</v>
      </c>
      <c r="B88" s="2" t="s">
        <v>22</v>
      </c>
      <c r="C88" s="3" t="s">
        <v>340</v>
      </c>
      <c r="D88" s="2" t="s">
        <v>22</v>
      </c>
      <c r="G88" s="2" t="s">
        <v>23</v>
      </c>
      <c r="J88" s="2" t="s">
        <v>24</v>
      </c>
      <c r="K88" s="2" t="s">
        <v>23</v>
      </c>
      <c r="L88" s="2" t="s">
        <v>22</v>
      </c>
      <c r="M88" s="2" t="s">
        <v>176</v>
      </c>
      <c r="N88" s="2" t="s">
        <v>176</v>
      </c>
      <c r="O88" s="2" t="s">
        <v>176</v>
      </c>
      <c r="P88" s="2" t="s">
        <v>428</v>
      </c>
    </row>
    <row r="89" spans="1:17" x14ac:dyDescent="0.25">
      <c r="A89" s="3">
        <v>88</v>
      </c>
      <c r="B89" s="2" t="s">
        <v>138</v>
      </c>
      <c r="C89" s="3" t="s">
        <v>154</v>
      </c>
      <c r="D89" s="2" t="s">
        <v>7</v>
      </c>
      <c r="E89" s="2" t="s">
        <v>17</v>
      </c>
      <c r="F89" s="3" t="s">
        <v>56</v>
      </c>
      <c r="G89" s="2" t="s">
        <v>8</v>
      </c>
      <c r="H89" s="2" t="s">
        <v>18</v>
      </c>
      <c r="I89" s="2" t="s">
        <v>12</v>
      </c>
      <c r="J89" s="2" t="s">
        <v>9</v>
      </c>
      <c r="K89" s="2" t="s">
        <v>139</v>
      </c>
      <c r="L89" s="2" t="s">
        <v>170</v>
      </c>
      <c r="M89" s="2" t="s">
        <v>208</v>
      </c>
      <c r="N89" s="2" t="s">
        <v>322</v>
      </c>
      <c r="O89" s="2" t="s">
        <v>323</v>
      </c>
      <c r="P89" s="2" t="s">
        <v>429</v>
      </c>
      <c r="Q89" s="15" t="s">
        <v>472</v>
      </c>
    </row>
    <row r="90" spans="1:17" x14ac:dyDescent="0.25">
      <c r="A90" s="3">
        <v>89</v>
      </c>
      <c r="B90" s="2" t="s">
        <v>140</v>
      </c>
      <c r="C90" s="3" t="s">
        <v>154</v>
      </c>
      <c r="D90" s="3" t="s">
        <v>29</v>
      </c>
      <c r="E90" s="2" t="s">
        <v>38</v>
      </c>
      <c r="G90" s="2" t="s">
        <v>32</v>
      </c>
      <c r="H90" s="2" t="s">
        <v>33</v>
      </c>
      <c r="J90" s="2" t="s">
        <v>9</v>
      </c>
      <c r="K90" s="2" t="s">
        <v>67</v>
      </c>
      <c r="L90" s="2" t="s">
        <v>167</v>
      </c>
      <c r="M90" s="2" t="s">
        <v>187</v>
      </c>
      <c r="N90" s="2" t="s">
        <v>324</v>
      </c>
      <c r="O90" s="2" t="s">
        <v>325</v>
      </c>
      <c r="P90" s="2" t="s">
        <v>430</v>
      </c>
    </row>
    <row r="91" spans="1:17" x14ac:dyDescent="0.25">
      <c r="A91" s="3">
        <v>90</v>
      </c>
      <c r="B91" s="2" t="s">
        <v>141</v>
      </c>
      <c r="C91" s="3" t="s">
        <v>154</v>
      </c>
      <c r="D91" s="2" t="s">
        <v>87</v>
      </c>
      <c r="G91" s="2" t="s">
        <v>88</v>
      </c>
      <c r="J91" s="2" t="s">
        <v>24</v>
      </c>
      <c r="K91" s="2" t="s">
        <v>88</v>
      </c>
      <c r="L91" s="2" t="s">
        <v>87</v>
      </c>
      <c r="M91" s="2" t="s">
        <v>194</v>
      </c>
      <c r="N91" s="2" t="s">
        <v>326</v>
      </c>
      <c r="O91" s="2" t="s">
        <v>327</v>
      </c>
      <c r="P91" s="2" t="s">
        <v>431</v>
      </c>
    </row>
    <row r="92" spans="1:17" x14ac:dyDescent="0.25">
      <c r="A92" s="3">
        <v>91</v>
      </c>
      <c r="B92" s="2" t="s">
        <v>142</v>
      </c>
      <c r="C92" s="3" t="s">
        <v>340</v>
      </c>
      <c r="D92" s="2" t="s">
        <v>142</v>
      </c>
      <c r="G92" s="2" t="s">
        <v>133</v>
      </c>
      <c r="J92" s="2" t="s">
        <v>24</v>
      </c>
      <c r="K92" s="2" t="s">
        <v>133</v>
      </c>
      <c r="L92" s="2" t="s">
        <v>142</v>
      </c>
      <c r="M92" s="2" t="s">
        <v>209</v>
      </c>
      <c r="N92" s="2" t="s">
        <v>209</v>
      </c>
      <c r="O92" s="2" t="s">
        <v>209</v>
      </c>
      <c r="P92" s="2" t="s">
        <v>432</v>
      </c>
      <c r="Q92" s="16" t="s">
        <v>473</v>
      </c>
    </row>
    <row r="93" spans="1:17" x14ac:dyDescent="0.25">
      <c r="A93" s="3">
        <v>92</v>
      </c>
      <c r="B93" s="3" t="s">
        <v>116</v>
      </c>
      <c r="C93" s="3" t="s">
        <v>340</v>
      </c>
      <c r="D93" s="2" t="s">
        <v>116</v>
      </c>
      <c r="G93" s="2" t="s">
        <v>117</v>
      </c>
      <c r="J93" s="2" t="s">
        <v>9</v>
      </c>
      <c r="K93" s="2" t="s">
        <v>117</v>
      </c>
      <c r="L93" s="2" t="s">
        <v>116</v>
      </c>
      <c r="M93" s="2" t="s">
        <v>202</v>
      </c>
      <c r="N93" s="2" t="s">
        <v>202</v>
      </c>
      <c r="O93" s="2" t="s">
        <v>202</v>
      </c>
      <c r="P93" s="2" t="s">
        <v>433</v>
      </c>
      <c r="Q93" s="16" t="s">
        <v>474</v>
      </c>
    </row>
    <row r="94" spans="1:17" x14ac:dyDescent="0.25">
      <c r="A94" s="3">
        <v>93</v>
      </c>
      <c r="B94" s="3" t="s">
        <v>143</v>
      </c>
      <c r="C94" s="3" t="s">
        <v>154</v>
      </c>
      <c r="D94" s="3" t="s">
        <v>144</v>
      </c>
      <c r="G94" s="2" t="s">
        <v>145</v>
      </c>
      <c r="J94" s="2" t="s">
        <v>146</v>
      </c>
      <c r="K94" s="2" t="s">
        <v>145</v>
      </c>
      <c r="L94" s="2" t="s">
        <v>144</v>
      </c>
      <c r="M94" s="2" t="s">
        <v>210</v>
      </c>
      <c r="N94" s="2" t="s">
        <v>328</v>
      </c>
      <c r="O94" s="2" t="s">
        <v>329</v>
      </c>
      <c r="P94" s="2" t="s">
        <v>434</v>
      </c>
    </row>
    <row r="95" spans="1:17" x14ac:dyDescent="0.25">
      <c r="A95" s="3">
        <v>94</v>
      </c>
      <c r="B95" s="2" t="s">
        <v>147</v>
      </c>
      <c r="C95" s="3" t="s">
        <v>154</v>
      </c>
      <c r="D95" s="2" t="s">
        <v>112</v>
      </c>
      <c r="G95" s="2" t="s">
        <v>113</v>
      </c>
      <c r="J95" s="2" t="s">
        <v>146</v>
      </c>
      <c r="K95" s="2" t="s">
        <v>113</v>
      </c>
      <c r="L95" s="2" t="s">
        <v>112</v>
      </c>
      <c r="M95" s="2" t="s">
        <v>201</v>
      </c>
      <c r="N95" s="2" t="s">
        <v>330</v>
      </c>
      <c r="O95" s="2" t="s">
        <v>331</v>
      </c>
      <c r="P95" s="2" t="s">
        <v>435</v>
      </c>
    </row>
    <row r="96" spans="1:17" x14ac:dyDescent="0.25">
      <c r="A96" s="3">
        <v>95</v>
      </c>
      <c r="B96" s="2" t="s">
        <v>148</v>
      </c>
      <c r="C96" s="3" t="s">
        <v>154</v>
      </c>
      <c r="D96" s="2" t="s">
        <v>125</v>
      </c>
      <c r="G96" s="2" t="s">
        <v>126</v>
      </c>
      <c r="J96" s="2" t="s">
        <v>50</v>
      </c>
      <c r="K96" s="2" t="s">
        <v>126</v>
      </c>
      <c r="L96" s="2" t="s">
        <v>125</v>
      </c>
      <c r="M96" s="2" t="s">
        <v>205</v>
      </c>
      <c r="N96" s="2" t="s">
        <v>332</v>
      </c>
      <c r="O96" s="2" t="s">
        <v>333</v>
      </c>
      <c r="P96" s="2" t="s">
        <v>436</v>
      </c>
    </row>
    <row r="97" spans="1:17" x14ac:dyDescent="0.25">
      <c r="A97" s="3">
        <v>96</v>
      </c>
      <c r="B97" s="2" t="s">
        <v>446</v>
      </c>
      <c r="C97" s="3" t="s">
        <v>154</v>
      </c>
      <c r="D97" s="2" t="s">
        <v>445</v>
      </c>
      <c r="G97" s="2" t="s">
        <v>447</v>
      </c>
      <c r="J97" s="2" t="s">
        <v>50</v>
      </c>
      <c r="K97" s="2" t="s">
        <v>447</v>
      </c>
      <c r="L97" s="2" t="str">
        <f>ARVP[[#This Row],[МНН1]]</f>
        <v>Элсульфавирин</v>
      </c>
      <c r="M97" s="2" t="s">
        <v>481</v>
      </c>
      <c r="N97" s="2" t="s">
        <v>482</v>
      </c>
      <c r="O97" s="2" t="s">
        <v>480</v>
      </c>
      <c r="P97" s="2" t="str">
        <f>ARVP[[#This Row],[ТН]]&amp;" ["&amp;ARVP[[#This Row],[МНН (код)]]&amp;"]"</f>
        <v>Элпида [Элсульфавирин (ESV)]</v>
      </c>
    </row>
    <row r="98" spans="1:17" x14ac:dyDescent="0.25">
      <c r="A98" s="3">
        <v>97</v>
      </c>
      <c r="B98" s="2" t="s">
        <v>445</v>
      </c>
      <c r="C98" s="3" t="s">
        <v>340</v>
      </c>
      <c r="D98" s="2" t="s">
        <v>445</v>
      </c>
      <c r="G98" s="2" t="s">
        <v>447</v>
      </c>
      <c r="J98" s="2" t="s">
        <v>50</v>
      </c>
      <c r="K98" s="2" t="s">
        <v>447</v>
      </c>
      <c r="L98" s="2" t="str">
        <f>ARVP[[#This Row],[МНН1]]</f>
        <v>Элсульфавирин</v>
      </c>
      <c r="M98" s="2" t="s">
        <v>481</v>
      </c>
      <c r="N98" s="2" t="s">
        <v>479</v>
      </c>
      <c r="O98" s="2" t="s">
        <v>481</v>
      </c>
      <c r="P98" s="2" t="str">
        <f>ARVP[[#This Row],[ТН]]&amp;" ["&amp;ARVP[[#This Row],[МНН (код)]]&amp;"]"</f>
        <v>Элсульфавирин [Элсульфавирин (ESV)]</v>
      </c>
      <c r="Q98" s="15" t="s">
        <v>483</v>
      </c>
    </row>
    <row r="99" spans="1:17" x14ac:dyDescent="0.25">
      <c r="A99" s="3">
        <v>98</v>
      </c>
      <c r="B99" s="2" t="s">
        <v>149</v>
      </c>
      <c r="C99" s="3" t="s">
        <v>154</v>
      </c>
      <c r="D99" s="3" t="s">
        <v>29</v>
      </c>
      <c r="G99" s="2" t="s">
        <v>32</v>
      </c>
      <c r="J99" s="2" t="s">
        <v>9</v>
      </c>
      <c r="K99" s="2" t="s">
        <v>32</v>
      </c>
      <c r="L99" s="2" t="s">
        <v>29</v>
      </c>
      <c r="M99" s="2" t="s">
        <v>211</v>
      </c>
      <c r="N99" s="2" t="s">
        <v>334</v>
      </c>
      <c r="O99" s="2" t="s">
        <v>335</v>
      </c>
      <c r="P99" s="2" t="s">
        <v>437</v>
      </c>
    </row>
    <row r="100" spans="1:17" x14ac:dyDescent="0.25">
      <c r="A100" s="3">
        <v>99</v>
      </c>
      <c r="B100" s="3" t="s">
        <v>29</v>
      </c>
      <c r="C100" s="3" t="s">
        <v>340</v>
      </c>
      <c r="D100" s="3" t="s">
        <v>29</v>
      </c>
      <c r="G100" s="2" t="s">
        <v>32</v>
      </c>
      <c r="J100" s="2" t="s">
        <v>9</v>
      </c>
      <c r="K100" s="2" t="s">
        <v>32</v>
      </c>
      <c r="L100" s="2" t="s">
        <v>29</v>
      </c>
      <c r="M100" s="2" t="s">
        <v>211</v>
      </c>
      <c r="N100" s="2" t="s">
        <v>211</v>
      </c>
      <c r="O100" s="2" t="s">
        <v>211</v>
      </c>
      <c r="P100" s="2" t="s">
        <v>438</v>
      </c>
    </row>
    <row r="101" spans="1:17" x14ac:dyDescent="0.25">
      <c r="A101" s="3">
        <v>100</v>
      </c>
      <c r="B101" s="2" t="s">
        <v>144</v>
      </c>
      <c r="C101" s="3" t="s">
        <v>340</v>
      </c>
      <c r="D101" s="3" t="s">
        <v>144</v>
      </c>
      <c r="G101" s="2" t="s">
        <v>145</v>
      </c>
      <c r="J101" s="2" t="s">
        <v>146</v>
      </c>
      <c r="K101" s="2" t="s">
        <v>145</v>
      </c>
      <c r="L101" s="2" t="s">
        <v>144</v>
      </c>
      <c r="M101" s="2" t="s">
        <v>210</v>
      </c>
      <c r="N101" s="2" t="s">
        <v>210</v>
      </c>
      <c r="O101" s="2" t="s">
        <v>210</v>
      </c>
      <c r="P101" s="2" t="s">
        <v>371</v>
      </c>
    </row>
    <row r="102" spans="1:17" x14ac:dyDescent="0.25">
      <c r="A102" s="3">
        <v>101</v>
      </c>
      <c r="B102" s="3" t="s">
        <v>150</v>
      </c>
      <c r="C102" s="3" t="s">
        <v>154</v>
      </c>
      <c r="D102" s="3" t="s">
        <v>17</v>
      </c>
      <c r="G102" s="2" t="s">
        <v>18</v>
      </c>
      <c r="J102" s="2" t="s">
        <v>9</v>
      </c>
      <c r="K102" s="2" t="s">
        <v>18</v>
      </c>
      <c r="L102" s="2" t="s">
        <v>17</v>
      </c>
      <c r="M102" s="2" t="s">
        <v>175</v>
      </c>
      <c r="N102" s="2" t="s">
        <v>336</v>
      </c>
      <c r="O102" s="2" t="s">
        <v>337</v>
      </c>
      <c r="P102" s="2" t="s">
        <v>368</v>
      </c>
    </row>
    <row r="103" spans="1:17" x14ac:dyDescent="0.25">
      <c r="A103" s="3">
        <v>102</v>
      </c>
      <c r="B103" s="3" t="s">
        <v>92</v>
      </c>
      <c r="C103" s="3" t="s">
        <v>340</v>
      </c>
      <c r="D103" s="2" t="s">
        <v>92</v>
      </c>
      <c r="G103" s="2" t="s">
        <v>93</v>
      </c>
      <c r="J103" s="2" t="s">
        <v>50</v>
      </c>
      <c r="K103" s="2" t="s">
        <v>93</v>
      </c>
      <c r="L103" s="2" t="s">
        <v>92</v>
      </c>
      <c r="M103" s="2" t="s">
        <v>196</v>
      </c>
      <c r="N103" s="2" t="s">
        <v>196</v>
      </c>
      <c r="O103" s="2" t="s">
        <v>196</v>
      </c>
      <c r="P103" s="2" t="s">
        <v>370</v>
      </c>
      <c r="Q103" s="15" t="s">
        <v>484</v>
      </c>
    </row>
    <row r="104" spans="1:17" x14ac:dyDescent="0.25">
      <c r="A104" s="3">
        <v>103</v>
      </c>
      <c r="B104" s="3" t="s">
        <v>475</v>
      </c>
      <c r="C104" s="3" t="s">
        <v>154</v>
      </c>
      <c r="D104" s="3" t="s">
        <v>29</v>
      </c>
      <c r="E104" s="2" t="s">
        <v>38</v>
      </c>
      <c r="F104" s="2" t="s">
        <v>125</v>
      </c>
      <c r="G104" s="2" t="s">
        <v>32</v>
      </c>
      <c r="H104" s="2" t="s">
        <v>33</v>
      </c>
      <c r="I104" s="2" t="s">
        <v>126</v>
      </c>
      <c r="J104" s="2" t="s">
        <v>35</v>
      </c>
      <c r="K104" s="2" t="s">
        <v>476</v>
      </c>
      <c r="L104" s="2" t="s">
        <v>478</v>
      </c>
      <c r="M104" s="2" t="str">
        <f>ARVP[[#This Row],[МНН1]]&amp;" ("&amp;ARVP[[#This Row],[Код1]]&amp;")+"&amp;ARVP[[#This Row],[МНН2]]&amp;"("&amp;ARVP[[#This Row],[Код2]]&amp;")+"&amp;ARVP[[#This Row],[МНН3]]&amp;"("&amp;ARVP[[#This Row],[Код3]]&amp;")"</f>
        <v>Эмтрицитабин (FTC)+Тенофовир алафенамид(TDF)+Рилпивирин(RPV)</v>
      </c>
      <c r="N104" s="2" t="str">
        <f>ARVP[[#This Row],[ТН]]&amp;" ["&amp;ARVP[[#This Row],[МНН (код)]]&amp;"]"</f>
        <v>Эвиплера [Эмтрицитабин (FTC)+Тенофовир алафенамид(TDF)+Рилпивирин(RPV)]</v>
      </c>
      <c r="P104" s="2" t="str">
        <f>ARVP[[#This Row],[ТН]]&amp;" ["&amp;ARVP[[#This Row],[МНН (код)]]&amp;"]"</f>
        <v>Эвиплера [Эмтрицитабин (FTC)+Тенофовир алафенамид(TDF)+Рилпивирин(RPV)]</v>
      </c>
      <c r="Q104" s="16" t="s">
        <v>477</v>
      </c>
    </row>
    <row r="105" spans="1:17" x14ac:dyDescent="0.25">
      <c r="A105" s="3">
        <v>104</v>
      </c>
      <c r="B105" s="3" t="s">
        <v>28</v>
      </c>
      <c r="C105" s="3" t="s">
        <v>340</v>
      </c>
      <c r="D105" s="3" t="s">
        <v>28</v>
      </c>
      <c r="G105" s="2" t="s">
        <v>31</v>
      </c>
      <c r="J105" s="2" t="s">
        <v>50</v>
      </c>
      <c r="K105" s="2" t="s">
        <v>31</v>
      </c>
      <c r="L105" s="2" t="s">
        <v>28</v>
      </c>
      <c r="M105" s="2" t="s">
        <v>204</v>
      </c>
      <c r="N105" s="2" t="s">
        <v>204</v>
      </c>
      <c r="O105" s="2" t="s">
        <v>204</v>
      </c>
      <c r="P105" s="2" t="s">
        <v>367</v>
      </c>
      <c r="Q105" s="15" t="s">
        <v>485</v>
      </c>
    </row>
    <row r="106" spans="1:17" x14ac:dyDescent="0.25">
      <c r="A106" s="3">
        <v>105</v>
      </c>
      <c r="B106" s="2" t="s">
        <v>151</v>
      </c>
      <c r="C106" s="3" t="s">
        <v>154</v>
      </c>
      <c r="D106" s="3" t="s">
        <v>28</v>
      </c>
      <c r="G106" s="2" t="s">
        <v>31</v>
      </c>
      <c r="J106" s="2" t="s">
        <v>50</v>
      </c>
      <c r="K106" s="2" t="s">
        <v>31</v>
      </c>
      <c r="L106" s="2" t="s">
        <v>28</v>
      </c>
      <c r="M106" s="2" t="s">
        <v>204</v>
      </c>
      <c r="N106" s="2" t="s">
        <v>338</v>
      </c>
      <c r="O106" s="2" t="s">
        <v>339</v>
      </c>
      <c r="P106" s="2" t="s">
        <v>369</v>
      </c>
    </row>
  </sheetData>
  <conditionalFormatting sqref="Q49">
    <cfRule type="duplicateValues" dxfId="38" priority="10"/>
  </conditionalFormatting>
  <conditionalFormatting sqref="P49">
    <cfRule type="duplicateValues" dxfId="37" priority="6"/>
  </conditionalFormatting>
  <conditionalFormatting sqref="P50:P56 P2:P20 P58:P1003 P22:P48">
    <cfRule type="duplicateValues" dxfId="36" priority="60"/>
  </conditionalFormatting>
  <conditionalFormatting sqref="Q50:Q56 Q2:Q20 Q58:Q106 Q22:Q48">
    <cfRule type="duplicateValues" dxfId="35" priority="63"/>
  </conditionalFormatting>
  <conditionalFormatting sqref="P57">
    <cfRule type="duplicateValues" dxfId="34" priority="4"/>
  </conditionalFormatting>
  <conditionalFormatting sqref="Q57">
    <cfRule type="duplicateValues" dxfId="33" priority="5"/>
  </conditionalFormatting>
  <conditionalFormatting sqref="A2:A1003">
    <cfRule type="duplicateValues" dxfId="32" priority="64"/>
  </conditionalFormatting>
  <conditionalFormatting sqref="P21">
    <cfRule type="duplicateValues" dxfId="31" priority="1"/>
  </conditionalFormatting>
  <conditionalFormatting sqref="Q21">
    <cfRule type="duplicateValues" dxfId="30" priority="2"/>
  </conditionalFormatting>
  <pageMargins left="0.7" right="0.7" top="0.75" bottom="0.75" header="0.3" footer="0.3"/>
  <pageSetup paperSize="9" orientation="portrait" r:id="rId1"/>
  <ignoredErrors>
    <ignoredError sqref="L78:N84 L105:N106 L86:N96 L28:N47 L50:M50 L22:N25 L10:N10 L3:N8 L58:N76 L99:N103 L51:N56 L12:N20" calculatedColumn="1"/>
  </ignoredErrors>
  <legacy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АРВП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</dc:creator>
  <cp:lastModifiedBy>Питерский Михаил Валерьевич</cp:lastModifiedBy>
  <dcterms:created xsi:type="dcterms:W3CDTF">2023-01-18T13:49:29Z</dcterms:created>
  <dcterms:modified xsi:type="dcterms:W3CDTF">2023-07-31T06:20:39Z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Module1.ARVP_1" visible="true" label="Module1.ARVP" imageMso="ModuleInsert" onAction="Module1.ARVP"/>
      </mso:documentControls>
    </mso:qat>
  </mso:ribbon>
</mso:customUI>
</file>